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"/>
    </mc:Choice>
  </mc:AlternateContent>
  <xr:revisionPtr revIDLastSave="0" documentId="13_ncr:1_{C7CC3751-D58E-E046-BF45-DEC964628AA1}" xr6:coauthVersionLast="47" xr6:coauthVersionMax="47" xr10:uidLastSave="{00000000-0000-0000-0000-000000000000}"/>
  <bookViews>
    <workbookView xWindow="0" yWindow="700" windowWidth="30240" windowHeight="17860" activeTab="2" xr2:uid="{A64D6EEE-6CF4-904F-B0B0-925EF099C968}"/>
  </bookViews>
  <sheets>
    <sheet name="raw_data" sheetId="1" r:id="rId1"/>
    <sheet name="clean_data" sheetId="2" r:id="rId2"/>
    <sheet name="calcul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  <c r="K12" i="3"/>
  <c r="K11" i="3"/>
  <c r="K3" i="3"/>
  <c r="K4" i="3"/>
  <c r="K5" i="3"/>
  <c r="K6" i="3"/>
  <c r="K7" i="3"/>
  <c r="K8" i="3"/>
  <c r="K9" i="3"/>
  <c r="K10" i="3"/>
  <c r="K20" i="3"/>
  <c r="K21" i="3"/>
  <c r="K22" i="3"/>
  <c r="K23" i="3"/>
  <c r="K24" i="3"/>
  <c r="K25" i="3"/>
  <c r="K26" i="3"/>
  <c r="K27" i="3"/>
  <c r="K28" i="3"/>
  <c r="K14" i="3"/>
  <c r="K15" i="3"/>
  <c r="K16" i="3"/>
  <c r="K17" i="3"/>
  <c r="K18" i="3"/>
  <c r="K19" i="3"/>
  <c r="K2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8" i="3"/>
  <c r="H9" i="3"/>
  <c r="H10" i="3"/>
  <c r="H3" i="3"/>
  <c r="H4" i="3"/>
  <c r="H5" i="3"/>
  <c r="H6" i="3"/>
  <c r="H7" i="3"/>
  <c r="H2" i="3"/>
</calcChain>
</file>

<file path=xl/sharedStrings.xml><?xml version="1.0" encoding="utf-8"?>
<sst xmlns="http://schemas.openxmlformats.org/spreadsheetml/2006/main" count="240" uniqueCount="52">
  <si>
    <t>Sample</t>
  </si>
  <si>
    <t>Replicate</t>
  </si>
  <si>
    <t>OD600</t>
  </si>
  <si>
    <t>T0R1</t>
  </si>
  <si>
    <t>Time (h)</t>
  </si>
  <si>
    <t>T0R2</t>
  </si>
  <si>
    <t>T0R3</t>
  </si>
  <si>
    <t>T1R1</t>
  </si>
  <si>
    <t>T1R2</t>
  </si>
  <si>
    <t>T1R3</t>
  </si>
  <si>
    <t>T2R1</t>
  </si>
  <si>
    <t>T2R2</t>
  </si>
  <si>
    <t>T2R3</t>
  </si>
  <si>
    <t>T3R1</t>
  </si>
  <si>
    <t>T3R2</t>
  </si>
  <si>
    <t>T3R3</t>
  </si>
  <si>
    <t>T4R1</t>
  </si>
  <si>
    <t>T4R2</t>
  </si>
  <si>
    <t>T4R3</t>
  </si>
  <si>
    <t>veg.colonies.dilution.-1</t>
  </si>
  <si>
    <t>veg.colonies.dilution.-3</t>
  </si>
  <si>
    <t>veg.colonies.dilution.-5</t>
  </si>
  <si>
    <t>spore.colonies.dilution.-1</t>
  </si>
  <si>
    <t>spore.colonies.dilution.-3</t>
  </si>
  <si>
    <t>spore.colonies.dilution.-5</t>
  </si>
  <si>
    <t>TMTC</t>
  </si>
  <si>
    <t>TMTC/NA</t>
  </si>
  <si>
    <t>NA</t>
  </si>
  <si>
    <t>veg.colonies.dilution.-4</t>
  </si>
  <si>
    <t>veg.colonies.dilution.-6</t>
  </si>
  <si>
    <t>spores.colonies.dilution.-2</t>
  </si>
  <si>
    <t>T5R1</t>
  </si>
  <si>
    <t>T5R2</t>
  </si>
  <si>
    <t>T5R3</t>
  </si>
  <si>
    <t>T6R1</t>
  </si>
  <si>
    <t>T6R2</t>
  </si>
  <si>
    <t>T6R3</t>
  </si>
  <si>
    <t>T7R1</t>
  </si>
  <si>
    <t>T7R2</t>
  </si>
  <si>
    <t>T7R3</t>
  </si>
  <si>
    <t>T8R1</t>
  </si>
  <si>
    <t>T8R2</t>
  </si>
  <si>
    <t>T8R3</t>
  </si>
  <si>
    <t>veg.colonies.dilution.-7</t>
  </si>
  <si>
    <t>veg.colonies.dilution.-8</t>
  </si>
  <si>
    <t>veg.cells.ml</t>
  </si>
  <si>
    <t>volume.ml</t>
  </si>
  <si>
    <t>veg.colonies</t>
  </si>
  <si>
    <t>spore.colonies</t>
  </si>
  <si>
    <t>spores.ml</t>
  </si>
  <si>
    <t>spore.dilution</t>
  </si>
  <si>
    <t>veg.dilution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</si>
</sst>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E5AB-2C1F-2045-AD7F-BF62873B3E73}">
  <dimension ref="A1:O28"/>
  <sheetViews>
    <sheetView topLeftCell="H1" zoomScale="125" workbookViewId="0">
      <selection activeCell="L14" sqref="L14"/>
    </sheetView>
  </sheetViews>
  <sheetFormatPr baseColWidth="10" defaultRowHeight="16" x14ac:dyDescent="0.2"/>
  <cols>
    <col min="5" max="5" width="22.6640625" customWidth="1"/>
    <col min="6" max="7" width="22.1640625" customWidth="1"/>
    <col min="8" max="14" width="22" customWidth="1"/>
  </cols>
  <sheetData>
    <row r="1" spans="1:15" x14ac:dyDescent="0.2">
      <c r="A1" t="s">
        <v>0</v>
      </c>
      <c r="B1" t="s">
        <v>4</v>
      </c>
      <c r="C1" t="s">
        <v>1</v>
      </c>
      <c r="D1" t="s">
        <v>2</v>
      </c>
      <c r="E1" t="s">
        <v>19</v>
      </c>
      <c r="F1" t="s">
        <v>20</v>
      </c>
      <c r="G1" t="s">
        <v>28</v>
      </c>
      <c r="H1" t="s">
        <v>21</v>
      </c>
      <c r="I1" t="s">
        <v>29</v>
      </c>
      <c r="J1" t="s">
        <v>43</v>
      </c>
      <c r="K1" t="s">
        <v>44</v>
      </c>
      <c r="L1" t="s">
        <v>22</v>
      </c>
      <c r="M1" t="s">
        <v>30</v>
      </c>
      <c r="N1" t="s">
        <v>23</v>
      </c>
      <c r="O1" t="s">
        <v>24</v>
      </c>
    </row>
    <row r="2" spans="1:15" x14ac:dyDescent="0.2">
      <c r="A2" t="s">
        <v>3</v>
      </c>
      <c r="B2">
        <v>0</v>
      </c>
      <c r="C2">
        <v>1</v>
      </c>
      <c r="D2">
        <v>0.29099999999999998</v>
      </c>
      <c r="E2" t="s">
        <v>25</v>
      </c>
      <c r="F2">
        <v>265</v>
      </c>
      <c r="G2" t="s">
        <v>27</v>
      </c>
      <c r="H2">
        <v>7</v>
      </c>
      <c r="I2" t="s">
        <v>27</v>
      </c>
      <c r="L2">
        <v>110</v>
      </c>
      <c r="M2" t="s">
        <v>27</v>
      </c>
      <c r="N2">
        <v>1</v>
      </c>
      <c r="O2">
        <v>0</v>
      </c>
    </row>
    <row r="3" spans="1:15" x14ac:dyDescent="0.2">
      <c r="A3" t="s">
        <v>5</v>
      </c>
      <c r="B3">
        <v>0</v>
      </c>
      <c r="C3">
        <v>2</v>
      </c>
      <c r="D3">
        <v>0.33400000000000002</v>
      </c>
      <c r="E3" t="s">
        <v>25</v>
      </c>
      <c r="F3">
        <v>313</v>
      </c>
      <c r="G3" t="s">
        <v>27</v>
      </c>
      <c r="H3">
        <v>10</v>
      </c>
      <c r="I3" t="s">
        <v>27</v>
      </c>
      <c r="L3">
        <v>121</v>
      </c>
      <c r="M3" t="s">
        <v>27</v>
      </c>
      <c r="N3">
        <v>0</v>
      </c>
      <c r="O3">
        <v>0</v>
      </c>
    </row>
    <row r="4" spans="1:15" x14ac:dyDescent="0.2">
      <c r="A4" t="s">
        <v>6</v>
      </c>
      <c r="B4">
        <v>0</v>
      </c>
      <c r="C4">
        <v>3</v>
      </c>
      <c r="D4">
        <v>0.32700000000000001</v>
      </c>
      <c r="E4" t="s">
        <v>25</v>
      </c>
      <c r="F4">
        <v>379</v>
      </c>
      <c r="G4" t="s">
        <v>27</v>
      </c>
      <c r="H4">
        <v>10</v>
      </c>
      <c r="I4" t="s">
        <v>27</v>
      </c>
      <c r="L4">
        <v>118</v>
      </c>
      <c r="M4" t="s">
        <v>27</v>
      </c>
      <c r="N4">
        <v>0</v>
      </c>
      <c r="O4">
        <v>0</v>
      </c>
    </row>
    <row r="5" spans="1:15" x14ac:dyDescent="0.2">
      <c r="A5" t="s">
        <v>7</v>
      </c>
      <c r="B5">
        <v>1</v>
      </c>
      <c r="C5">
        <v>1</v>
      </c>
      <c r="D5">
        <v>0.49099999999999999</v>
      </c>
      <c r="E5" t="s">
        <v>26</v>
      </c>
      <c r="F5">
        <v>395</v>
      </c>
      <c r="G5" t="s">
        <v>27</v>
      </c>
      <c r="H5">
        <v>4</v>
      </c>
      <c r="I5" t="s">
        <v>27</v>
      </c>
      <c r="L5" t="s">
        <v>27</v>
      </c>
      <c r="M5" t="s">
        <v>27</v>
      </c>
      <c r="N5">
        <v>4</v>
      </c>
      <c r="O5">
        <v>0</v>
      </c>
    </row>
    <row r="6" spans="1:15" x14ac:dyDescent="0.2">
      <c r="A6" t="s">
        <v>8</v>
      </c>
      <c r="B6">
        <v>1</v>
      </c>
      <c r="C6">
        <v>2</v>
      </c>
      <c r="D6">
        <v>0.63</v>
      </c>
      <c r="E6" t="s">
        <v>26</v>
      </c>
      <c r="F6">
        <v>426</v>
      </c>
      <c r="G6" t="s">
        <v>27</v>
      </c>
      <c r="H6">
        <v>17</v>
      </c>
      <c r="I6" t="s">
        <v>27</v>
      </c>
      <c r="L6" t="s">
        <v>27</v>
      </c>
      <c r="M6" t="s">
        <v>27</v>
      </c>
      <c r="N6">
        <v>0</v>
      </c>
      <c r="O6">
        <v>0</v>
      </c>
    </row>
    <row r="7" spans="1:15" x14ac:dyDescent="0.2">
      <c r="A7" t="s">
        <v>9</v>
      </c>
      <c r="B7">
        <v>1</v>
      </c>
      <c r="C7">
        <v>3</v>
      </c>
      <c r="D7">
        <v>0.48799999999999999</v>
      </c>
      <c r="E7" t="s">
        <v>26</v>
      </c>
      <c r="F7">
        <v>500</v>
      </c>
      <c r="G7" t="s">
        <v>27</v>
      </c>
      <c r="H7">
        <v>4</v>
      </c>
      <c r="I7" t="s">
        <v>27</v>
      </c>
      <c r="L7" t="s">
        <v>27</v>
      </c>
      <c r="M7" t="s">
        <v>27</v>
      </c>
      <c r="N7">
        <v>2</v>
      </c>
      <c r="O7">
        <v>0</v>
      </c>
    </row>
    <row r="8" spans="1:15" x14ac:dyDescent="0.2">
      <c r="A8" t="s">
        <v>10</v>
      </c>
      <c r="B8">
        <v>2</v>
      </c>
      <c r="C8">
        <v>1</v>
      </c>
      <c r="D8">
        <v>0.76900000000000002</v>
      </c>
      <c r="E8" t="s">
        <v>26</v>
      </c>
      <c r="F8" t="s">
        <v>25</v>
      </c>
      <c r="G8" t="s">
        <v>27</v>
      </c>
      <c r="H8">
        <v>35</v>
      </c>
      <c r="I8" t="s">
        <v>27</v>
      </c>
      <c r="L8" t="s">
        <v>27</v>
      </c>
      <c r="M8" t="s">
        <v>27</v>
      </c>
      <c r="N8">
        <v>2</v>
      </c>
      <c r="O8">
        <v>0</v>
      </c>
    </row>
    <row r="9" spans="1:15" x14ac:dyDescent="0.2">
      <c r="A9" t="s">
        <v>11</v>
      </c>
      <c r="B9">
        <v>2</v>
      </c>
      <c r="C9">
        <v>2</v>
      </c>
      <c r="D9">
        <v>0.76800000000000002</v>
      </c>
      <c r="E9" t="s">
        <v>26</v>
      </c>
      <c r="F9" t="s">
        <v>25</v>
      </c>
      <c r="G9" t="s">
        <v>27</v>
      </c>
      <c r="H9">
        <v>53</v>
      </c>
      <c r="I9" t="s">
        <v>27</v>
      </c>
      <c r="L9" t="s">
        <v>27</v>
      </c>
      <c r="M9" t="s">
        <v>27</v>
      </c>
      <c r="N9">
        <v>3</v>
      </c>
      <c r="O9">
        <v>0</v>
      </c>
    </row>
    <row r="10" spans="1:15" x14ac:dyDescent="0.2">
      <c r="A10" t="s">
        <v>12</v>
      </c>
      <c r="B10">
        <v>2</v>
      </c>
      <c r="C10">
        <v>3</v>
      </c>
      <c r="D10">
        <v>0.77400000000000002</v>
      </c>
      <c r="E10" t="s">
        <v>26</v>
      </c>
      <c r="F10" t="s">
        <v>25</v>
      </c>
      <c r="G10" t="s">
        <v>27</v>
      </c>
      <c r="H10">
        <v>38</v>
      </c>
      <c r="I10" t="s">
        <v>27</v>
      </c>
      <c r="L10" t="s">
        <v>27</v>
      </c>
      <c r="M10" t="s">
        <v>27</v>
      </c>
      <c r="N10">
        <v>2</v>
      </c>
      <c r="O10">
        <v>0</v>
      </c>
    </row>
    <row r="11" spans="1:15" x14ac:dyDescent="0.2">
      <c r="A11" t="s">
        <v>13</v>
      </c>
      <c r="B11">
        <v>3</v>
      </c>
      <c r="C11">
        <v>1</v>
      </c>
      <c r="D11">
        <v>1.004</v>
      </c>
      <c r="E11" t="s">
        <v>26</v>
      </c>
      <c r="G11">
        <v>613</v>
      </c>
      <c r="H11" t="s">
        <v>27</v>
      </c>
      <c r="I11">
        <v>20</v>
      </c>
      <c r="M11" t="s">
        <v>27</v>
      </c>
    </row>
    <row r="12" spans="1:15" x14ac:dyDescent="0.2">
      <c r="A12" t="s">
        <v>14</v>
      </c>
      <c r="B12">
        <v>3</v>
      </c>
      <c r="C12">
        <v>2</v>
      </c>
      <c r="D12">
        <v>0.92500000000000004</v>
      </c>
      <c r="E12" t="s">
        <v>26</v>
      </c>
      <c r="G12">
        <v>569</v>
      </c>
      <c r="I12">
        <v>23</v>
      </c>
      <c r="M12" t="s">
        <v>27</v>
      </c>
    </row>
    <row r="13" spans="1:15" x14ac:dyDescent="0.2">
      <c r="A13" t="s">
        <v>15</v>
      </c>
      <c r="B13">
        <v>3</v>
      </c>
      <c r="C13">
        <v>3</v>
      </c>
      <c r="D13">
        <v>0.78800000000000003</v>
      </c>
      <c r="E13" t="s">
        <v>26</v>
      </c>
      <c r="G13">
        <v>562</v>
      </c>
      <c r="I13">
        <v>8</v>
      </c>
      <c r="M13" t="s">
        <v>27</v>
      </c>
    </row>
    <row r="14" spans="1:15" x14ac:dyDescent="0.2">
      <c r="A14" t="s">
        <v>16</v>
      </c>
      <c r="B14">
        <v>4</v>
      </c>
      <c r="C14">
        <v>1</v>
      </c>
      <c r="D14">
        <v>1.1539999999999999</v>
      </c>
      <c r="E14" t="s">
        <v>26</v>
      </c>
      <c r="G14" t="s">
        <v>25</v>
      </c>
      <c r="I14">
        <v>32</v>
      </c>
      <c r="M14">
        <v>11</v>
      </c>
    </row>
    <row r="15" spans="1:15" x14ac:dyDescent="0.2">
      <c r="A15" t="s">
        <v>17</v>
      </c>
      <c r="B15">
        <v>4</v>
      </c>
      <c r="C15">
        <v>2</v>
      </c>
      <c r="D15">
        <v>1.2989999999999999</v>
      </c>
      <c r="E15" t="s">
        <v>26</v>
      </c>
      <c r="G15" t="s">
        <v>25</v>
      </c>
      <c r="I15">
        <v>40</v>
      </c>
      <c r="M15">
        <v>16</v>
      </c>
    </row>
    <row r="16" spans="1:15" x14ac:dyDescent="0.2">
      <c r="A16" t="s">
        <v>18</v>
      </c>
      <c r="B16">
        <v>4</v>
      </c>
      <c r="C16">
        <v>3</v>
      </c>
      <c r="D16">
        <v>1.075</v>
      </c>
      <c r="E16" t="s">
        <v>26</v>
      </c>
      <c r="G16" t="s">
        <v>25</v>
      </c>
      <c r="I16">
        <v>27</v>
      </c>
      <c r="M16">
        <v>19</v>
      </c>
    </row>
    <row r="17" spans="1:15" x14ac:dyDescent="0.2">
      <c r="A17" t="s">
        <v>31</v>
      </c>
      <c r="B17">
        <v>5</v>
      </c>
      <c r="C17">
        <v>1</v>
      </c>
      <c r="D17">
        <v>1.3680000000000001</v>
      </c>
      <c r="E17" t="s">
        <v>26</v>
      </c>
      <c r="I17">
        <v>26</v>
      </c>
      <c r="J17">
        <v>1</v>
      </c>
      <c r="L17">
        <v>195</v>
      </c>
      <c r="M17" t="s">
        <v>27</v>
      </c>
      <c r="N17">
        <v>6</v>
      </c>
      <c r="O17">
        <v>0</v>
      </c>
    </row>
    <row r="18" spans="1:15" x14ac:dyDescent="0.2">
      <c r="A18" t="s">
        <v>32</v>
      </c>
      <c r="B18">
        <v>5</v>
      </c>
      <c r="C18">
        <v>2</v>
      </c>
      <c r="D18">
        <v>1.3480000000000001</v>
      </c>
      <c r="E18" t="s">
        <v>26</v>
      </c>
      <c r="I18">
        <v>28</v>
      </c>
      <c r="J18">
        <v>3</v>
      </c>
      <c r="L18">
        <v>190</v>
      </c>
      <c r="M18" t="s">
        <v>27</v>
      </c>
      <c r="N18">
        <v>2</v>
      </c>
    </row>
    <row r="19" spans="1:15" x14ac:dyDescent="0.2">
      <c r="A19" t="s">
        <v>33</v>
      </c>
      <c r="B19">
        <v>5</v>
      </c>
      <c r="C19">
        <v>3</v>
      </c>
      <c r="D19">
        <v>1.49</v>
      </c>
      <c r="E19" t="s">
        <v>26</v>
      </c>
      <c r="I19">
        <v>35</v>
      </c>
      <c r="J19">
        <v>2</v>
      </c>
      <c r="L19">
        <v>234</v>
      </c>
      <c r="M19" t="s">
        <v>27</v>
      </c>
      <c r="N19">
        <v>0</v>
      </c>
      <c r="O19">
        <v>0</v>
      </c>
    </row>
    <row r="20" spans="1:15" x14ac:dyDescent="0.2">
      <c r="A20" t="s">
        <v>34</v>
      </c>
      <c r="B20">
        <v>6</v>
      </c>
      <c r="C20">
        <v>1</v>
      </c>
      <c r="D20">
        <v>1.659</v>
      </c>
      <c r="E20" t="s">
        <v>26</v>
      </c>
      <c r="I20">
        <v>8</v>
      </c>
      <c r="J20">
        <v>2</v>
      </c>
      <c r="N20">
        <v>0</v>
      </c>
      <c r="O20">
        <v>0</v>
      </c>
    </row>
    <row r="21" spans="1:15" x14ac:dyDescent="0.2">
      <c r="A21" t="s">
        <v>35</v>
      </c>
      <c r="B21">
        <v>6</v>
      </c>
      <c r="C21">
        <v>2</v>
      </c>
      <c r="D21">
        <v>1.6060000000000001</v>
      </c>
      <c r="E21" t="s">
        <v>26</v>
      </c>
      <c r="I21">
        <v>15</v>
      </c>
      <c r="J21">
        <v>2</v>
      </c>
      <c r="N21">
        <v>4</v>
      </c>
      <c r="O21">
        <v>0</v>
      </c>
    </row>
    <row r="22" spans="1:15" x14ac:dyDescent="0.2">
      <c r="A22" t="s">
        <v>36</v>
      </c>
      <c r="B22">
        <v>6</v>
      </c>
      <c r="C22">
        <v>3</v>
      </c>
      <c r="D22">
        <v>1.5620000000000001</v>
      </c>
      <c r="E22" t="s">
        <v>26</v>
      </c>
      <c r="I22">
        <v>19</v>
      </c>
      <c r="J22">
        <v>1</v>
      </c>
      <c r="N22">
        <v>1</v>
      </c>
      <c r="O22">
        <v>0</v>
      </c>
    </row>
    <row r="23" spans="1:15" x14ac:dyDescent="0.2">
      <c r="A23" t="s">
        <v>37</v>
      </c>
      <c r="B23">
        <v>7</v>
      </c>
      <c r="C23">
        <v>1</v>
      </c>
      <c r="D23">
        <v>1.702</v>
      </c>
      <c r="E23" t="s">
        <v>26</v>
      </c>
      <c r="I23">
        <v>11</v>
      </c>
      <c r="K23">
        <v>0</v>
      </c>
      <c r="M23">
        <v>23</v>
      </c>
    </row>
    <row r="24" spans="1:15" x14ac:dyDescent="0.2">
      <c r="A24" t="s">
        <v>38</v>
      </c>
      <c r="B24">
        <v>7</v>
      </c>
      <c r="C24">
        <v>2</v>
      </c>
      <c r="D24">
        <v>1.742</v>
      </c>
      <c r="E24" t="s">
        <v>26</v>
      </c>
      <c r="K24">
        <v>12</v>
      </c>
      <c r="M24">
        <v>7</v>
      </c>
    </row>
    <row r="25" spans="1:15" x14ac:dyDescent="0.2">
      <c r="A25" t="s">
        <v>39</v>
      </c>
      <c r="B25">
        <v>7</v>
      </c>
      <c r="C25">
        <v>3</v>
      </c>
      <c r="D25">
        <v>1.34</v>
      </c>
      <c r="E25" t="s">
        <v>26</v>
      </c>
      <c r="I25">
        <v>12</v>
      </c>
      <c r="M25">
        <v>15</v>
      </c>
    </row>
    <row r="26" spans="1:15" x14ac:dyDescent="0.2">
      <c r="A26" t="s">
        <v>40</v>
      </c>
      <c r="B26">
        <v>8</v>
      </c>
      <c r="C26">
        <v>1</v>
      </c>
      <c r="D26">
        <v>1.4970000000000001</v>
      </c>
      <c r="E26" t="s">
        <v>26</v>
      </c>
      <c r="I26">
        <v>23</v>
      </c>
      <c r="K26">
        <v>1</v>
      </c>
      <c r="M26">
        <v>18</v>
      </c>
    </row>
    <row r="27" spans="1:15" x14ac:dyDescent="0.2">
      <c r="A27" t="s">
        <v>41</v>
      </c>
      <c r="B27">
        <v>8</v>
      </c>
      <c r="C27">
        <v>2</v>
      </c>
      <c r="D27">
        <v>1.4370000000000001</v>
      </c>
      <c r="E27" t="s">
        <v>26</v>
      </c>
      <c r="I27">
        <v>36</v>
      </c>
      <c r="M27">
        <v>7</v>
      </c>
    </row>
    <row r="28" spans="1:15" x14ac:dyDescent="0.2">
      <c r="A28" t="s">
        <v>42</v>
      </c>
      <c r="B28">
        <v>8</v>
      </c>
      <c r="C28">
        <v>3</v>
      </c>
      <c r="D28">
        <v>1.37</v>
      </c>
      <c r="E28" t="s">
        <v>26</v>
      </c>
      <c r="I28">
        <v>33</v>
      </c>
      <c r="M28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D71A-3504-5E4E-825C-13F9740C465B}">
  <dimension ref="A1:N28"/>
  <sheetViews>
    <sheetView topLeftCell="H1" zoomScale="165" workbookViewId="0">
      <selection activeCell="A12" sqref="A12"/>
    </sheetView>
  </sheetViews>
  <sheetFormatPr baseColWidth="10" defaultRowHeight="16" x14ac:dyDescent="0.2"/>
  <cols>
    <col min="5" max="6" width="22.1640625" customWidth="1"/>
    <col min="7" max="11" width="22" customWidth="1"/>
    <col min="12" max="12" width="24.1640625" customWidth="1"/>
    <col min="13" max="13" width="22" customWidth="1"/>
  </cols>
  <sheetData>
    <row r="1" spans="1:14" x14ac:dyDescent="0.2">
      <c r="A1" t="s">
        <v>0</v>
      </c>
      <c r="B1" t="s">
        <v>4</v>
      </c>
      <c r="C1" t="s">
        <v>1</v>
      </c>
      <c r="D1" t="s">
        <v>2</v>
      </c>
      <c r="E1" t="s">
        <v>20</v>
      </c>
      <c r="F1" t="s">
        <v>28</v>
      </c>
      <c r="G1" t="s">
        <v>21</v>
      </c>
      <c r="H1" t="s">
        <v>29</v>
      </c>
      <c r="I1" t="s">
        <v>43</v>
      </c>
      <c r="J1" t="s">
        <v>44</v>
      </c>
      <c r="K1" t="s">
        <v>22</v>
      </c>
      <c r="L1" t="s">
        <v>30</v>
      </c>
      <c r="M1" t="s">
        <v>23</v>
      </c>
      <c r="N1" t="s">
        <v>24</v>
      </c>
    </row>
    <row r="2" spans="1:14" x14ac:dyDescent="0.2">
      <c r="A2" t="s">
        <v>3</v>
      </c>
      <c r="B2">
        <v>0</v>
      </c>
      <c r="C2">
        <v>1</v>
      </c>
      <c r="D2">
        <v>0.29099999999999998</v>
      </c>
      <c r="E2">
        <v>265</v>
      </c>
      <c r="F2" t="s">
        <v>27</v>
      </c>
      <c r="G2">
        <v>7</v>
      </c>
      <c r="H2" t="s">
        <v>27</v>
      </c>
      <c r="K2">
        <v>110</v>
      </c>
      <c r="L2" t="s">
        <v>27</v>
      </c>
      <c r="M2">
        <v>1</v>
      </c>
      <c r="N2">
        <v>0</v>
      </c>
    </row>
    <row r="3" spans="1:14" x14ac:dyDescent="0.2">
      <c r="A3" t="s">
        <v>5</v>
      </c>
      <c r="B3">
        <v>0</v>
      </c>
      <c r="C3">
        <v>2</v>
      </c>
      <c r="D3">
        <v>0.33400000000000002</v>
      </c>
      <c r="E3">
        <v>313</v>
      </c>
      <c r="F3" t="s">
        <v>27</v>
      </c>
      <c r="G3">
        <v>10</v>
      </c>
      <c r="H3" t="s">
        <v>27</v>
      </c>
      <c r="K3">
        <v>121</v>
      </c>
      <c r="L3" t="s">
        <v>27</v>
      </c>
      <c r="M3">
        <v>0</v>
      </c>
      <c r="N3">
        <v>0</v>
      </c>
    </row>
    <row r="4" spans="1:14" x14ac:dyDescent="0.2">
      <c r="A4" t="s">
        <v>6</v>
      </c>
      <c r="B4">
        <v>0</v>
      </c>
      <c r="C4">
        <v>3</v>
      </c>
      <c r="D4">
        <v>0.32700000000000001</v>
      </c>
      <c r="E4">
        <v>379</v>
      </c>
      <c r="F4" t="s">
        <v>27</v>
      </c>
      <c r="G4">
        <v>10</v>
      </c>
      <c r="H4" t="s">
        <v>27</v>
      </c>
      <c r="K4">
        <v>118</v>
      </c>
      <c r="L4" t="s">
        <v>27</v>
      </c>
      <c r="M4">
        <v>0</v>
      </c>
      <c r="N4">
        <v>0</v>
      </c>
    </row>
    <row r="5" spans="1:14" x14ac:dyDescent="0.2">
      <c r="A5" t="s">
        <v>7</v>
      </c>
      <c r="B5">
        <v>1</v>
      </c>
      <c r="C5">
        <v>1</v>
      </c>
      <c r="D5">
        <v>0.49099999999999999</v>
      </c>
      <c r="E5">
        <v>395</v>
      </c>
      <c r="F5" t="s">
        <v>27</v>
      </c>
      <c r="G5">
        <v>4</v>
      </c>
      <c r="H5" t="s">
        <v>27</v>
      </c>
      <c r="K5" t="s">
        <v>27</v>
      </c>
      <c r="L5" t="s">
        <v>27</v>
      </c>
      <c r="M5">
        <v>4</v>
      </c>
      <c r="N5">
        <v>0</v>
      </c>
    </row>
    <row r="6" spans="1:14" x14ac:dyDescent="0.2">
      <c r="A6" t="s">
        <v>8</v>
      </c>
      <c r="B6">
        <v>1</v>
      </c>
      <c r="C6">
        <v>2</v>
      </c>
      <c r="D6">
        <v>0.63</v>
      </c>
      <c r="E6">
        <v>426</v>
      </c>
      <c r="F6" t="s">
        <v>27</v>
      </c>
      <c r="G6">
        <v>17</v>
      </c>
      <c r="H6" t="s">
        <v>27</v>
      </c>
      <c r="K6" t="s">
        <v>27</v>
      </c>
      <c r="L6" t="s">
        <v>27</v>
      </c>
      <c r="M6">
        <v>0</v>
      </c>
      <c r="N6">
        <v>0</v>
      </c>
    </row>
    <row r="7" spans="1:14" x14ac:dyDescent="0.2">
      <c r="A7" t="s">
        <v>9</v>
      </c>
      <c r="B7">
        <v>1</v>
      </c>
      <c r="C7">
        <v>3</v>
      </c>
      <c r="D7">
        <v>0.48799999999999999</v>
      </c>
      <c r="E7">
        <v>500</v>
      </c>
      <c r="F7" t="s">
        <v>27</v>
      </c>
      <c r="G7">
        <v>4</v>
      </c>
      <c r="H7" t="s">
        <v>27</v>
      </c>
      <c r="K7" t="s">
        <v>27</v>
      </c>
      <c r="L7" t="s">
        <v>27</v>
      </c>
      <c r="M7">
        <v>2</v>
      </c>
      <c r="N7">
        <v>0</v>
      </c>
    </row>
    <row r="8" spans="1:14" x14ac:dyDescent="0.2">
      <c r="A8" t="s">
        <v>10</v>
      </c>
      <c r="B8">
        <v>2</v>
      </c>
      <c r="C8">
        <v>1</v>
      </c>
      <c r="D8">
        <v>0.76900000000000002</v>
      </c>
      <c r="E8" t="s">
        <v>25</v>
      </c>
      <c r="F8" t="s">
        <v>27</v>
      </c>
      <c r="G8">
        <v>35</v>
      </c>
      <c r="H8" t="s">
        <v>27</v>
      </c>
      <c r="K8" t="s">
        <v>27</v>
      </c>
      <c r="L8" t="s">
        <v>27</v>
      </c>
      <c r="M8">
        <v>2</v>
      </c>
      <c r="N8">
        <v>0</v>
      </c>
    </row>
    <row r="9" spans="1:14" x14ac:dyDescent="0.2">
      <c r="A9" t="s">
        <v>11</v>
      </c>
      <c r="B9">
        <v>2</v>
      </c>
      <c r="C9">
        <v>2</v>
      </c>
      <c r="D9">
        <v>0.76800000000000002</v>
      </c>
      <c r="E9" t="s">
        <v>25</v>
      </c>
      <c r="F9" t="s">
        <v>27</v>
      </c>
      <c r="G9">
        <v>53</v>
      </c>
      <c r="H9" t="s">
        <v>27</v>
      </c>
      <c r="K9" t="s">
        <v>27</v>
      </c>
      <c r="L9" t="s">
        <v>27</v>
      </c>
      <c r="M9">
        <v>3</v>
      </c>
      <c r="N9">
        <v>0</v>
      </c>
    </row>
    <row r="10" spans="1:14" x14ac:dyDescent="0.2">
      <c r="A10" t="s">
        <v>12</v>
      </c>
      <c r="B10">
        <v>2</v>
      </c>
      <c r="C10">
        <v>3</v>
      </c>
      <c r="D10">
        <v>0.77400000000000002</v>
      </c>
      <c r="E10" t="s">
        <v>25</v>
      </c>
      <c r="F10" t="s">
        <v>27</v>
      </c>
      <c r="G10">
        <v>38</v>
      </c>
      <c r="H10" t="s">
        <v>27</v>
      </c>
      <c r="K10" t="s">
        <v>27</v>
      </c>
      <c r="L10" t="s">
        <v>27</v>
      </c>
      <c r="M10">
        <v>2</v>
      </c>
      <c r="N10">
        <v>0</v>
      </c>
    </row>
    <row r="11" spans="1:14" x14ac:dyDescent="0.2">
      <c r="A11" t="s">
        <v>13</v>
      </c>
      <c r="B11">
        <v>3</v>
      </c>
      <c r="C11">
        <v>1</v>
      </c>
      <c r="D11">
        <v>1.004</v>
      </c>
      <c r="F11">
        <v>613</v>
      </c>
      <c r="G11" t="s">
        <v>27</v>
      </c>
      <c r="H11">
        <v>20</v>
      </c>
      <c r="L11" t="s">
        <v>27</v>
      </c>
    </row>
    <row r="12" spans="1:14" x14ac:dyDescent="0.2">
      <c r="A12" t="s">
        <v>14</v>
      </c>
      <c r="B12">
        <v>3</v>
      </c>
      <c r="C12">
        <v>2</v>
      </c>
      <c r="D12">
        <v>0.92500000000000004</v>
      </c>
      <c r="F12">
        <v>569</v>
      </c>
      <c r="H12">
        <v>23</v>
      </c>
      <c r="L12" t="s">
        <v>27</v>
      </c>
    </row>
    <row r="13" spans="1:14" x14ac:dyDescent="0.2">
      <c r="A13" t="s">
        <v>15</v>
      </c>
      <c r="B13">
        <v>3</v>
      </c>
      <c r="C13">
        <v>3</v>
      </c>
      <c r="D13">
        <v>0.78800000000000003</v>
      </c>
      <c r="F13">
        <v>562</v>
      </c>
      <c r="H13">
        <v>8</v>
      </c>
      <c r="L13" t="s">
        <v>27</v>
      </c>
    </row>
    <row r="14" spans="1:14" x14ac:dyDescent="0.2">
      <c r="A14" t="s">
        <v>16</v>
      </c>
      <c r="B14">
        <v>4</v>
      </c>
      <c r="C14">
        <v>1</v>
      </c>
      <c r="D14">
        <v>1.1539999999999999</v>
      </c>
      <c r="F14" t="s">
        <v>25</v>
      </c>
      <c r="H14">
        <v>32</v>
      </c>
      <c r="L14">
        <v>11</v>
      </c>
    </row>
    <row r="15" spans="1:14" x14ac:dyDescent="0.2">
      <c r="A15" t="s">
        <v>17</v>
      </c>
      <c r="B15">
        <v>4</v>
      </c>
      <c r="C15">
        <v>2</v>
      </c>
      <c r="D15">
        <v>1.2989999999999999</v>
      </c>
      <c r="F15" t="s">
        <v>25</v>
      </c>
      <c r="H15">
        <v>40</v>
      </c>
      <c r="L15">
        <v>16</v>
      </c>
    </row>
    <row r="16" spans="1:14" x14ac:dyDescent="0.2">
      <c r="A16" t="s">
        <v>18</v>
      </c>
      <c r="B16">
        <v>4</v>
      </c>
      <c r="C16">
        <v>3</v>
      </c>
      <c r="D16">
        <v>1.075</v>
      </c>
      <c r="F16" t="s">
        <v>25</v>
      </c>
      <c r="H16">
        <v>27</v>
      </c>
      <c r="L16">
        <v>19</v>
      </c>
    </row>
    <row r="17" spans="1:14" x14ac:dyDescent="0.2">
      <c r="A17" t="s">
        <v>31</v>
      </c>
      <c r="B17">
        <v>5</v>
      </c>
      <c r="C17">
        <v>1</v>
      </c>
      <c r="D17">
        <v>1.3680000000000001</v>
      </c>
      <c r="H17">
        <v>26</v>
      </c>
      <c r="I17">
        <v>1</v>
      </c>
      <c r="K17">
        <v>195</v>
      </c>
      <c r="L17" t="s">
        <v>27</v>
      </c>
      <c r="M17">
        <v>6</v>
      </c>
      <c r="N17">
        <v>0</v>
      </c>
    </row>
    <row r="18" spans="1:14" x14ac:dyDescent="0.2">
      <c r="A18" t="s">
        <v>32</v>
      </c>
      <c r="B18">
        <v>5</v>
      </c>
      <c r="C18">
        <v>2</v>
      </c>
      <c r="D18">
        <v>1.3480000000000001</v>
      </c>
      <c r="H18">
        <v>28</v>
      </c>
      <c r="I18">
        <v>3</v>
      </c>
      <c r="K18">
        <v>190</v>
      </c>
      <c r="L18" t="s">
        <v>27</v>
      </c>
      <c r="M18">
        <v>2</v>
      </c>
    </row>
    <row r="19" spans="1:14" x14ac:dyDescent="0.2">
      <c r="A19" t="s">
        <v>33</v>
      </c>
      <c r="B19">
        <v>5</v>
      </c>
      <c r="C19">
        <v>3</v>
      </c>
      <c r="D19">
        <v>1.49</v>
      </c>
      <c r="H19">
        <v>35</v>
      </c>
      <c r="I19">
        <v>2</v>
      </c>
      <c r="K19">
        <v>234</v>
      </c>
      <c r="L19" t="s">
        <v>27</v>
      </c>
      <c r="M19">
        <v>0</v>
      </c>
      <c r="N19">
        <v>0</v>
      </c>
    </row>
    <row r="20" spans="1:14" x14ac:dyDescent="0.2">
      <c r="A20" t="s">
        <v>34</v>
      </c>
      <c r="B20">
        <v>6</v>
      </c>
      <c r="C20">
        <v>1</v>
      </c>
      <c r="D20">
        <v>1.659</v>
      </c>
      <c r="H20">
        <v>8</v>
      </c>
      <c r="I20">
        <v>2</v>
      </c>
      <c r="M20">
        <v>0</v>
      </c>
      <c r="N20">
        <v>0</v>
      </c>
    </row>
    <row r="21" spans="1:14" x14ac:dyDescent="0.2">
      <c r="A21" t="s">
        <v>35</v>
      </c>
      <c r="B21">
        <v>6</v>
      </c>
      <c r="C21">
        <v>2</v>
      </c>
      <c r="D21">
        <v>1.6060000000000001</v>
      </c>
      <c r="H21">
        <v>15</v>
      </c>
      <c r="I21">
        <v>2</v>
      </c>
      <c r="M21">
        <v>4</v>
      </c>
      <c r="N21">
        <v>0</v>
      </c>
    </row>
    <row r="22" spans="1:14" x14ac:dyDescent="0.2">
      <c r="A22" t="s">
        <v>36</v>
      </c>
      <c r="B22">
        <v>6</v>
      </c>
      <c r="C22">
        <v>3</v>
      </c>
      <c r="D22">
        <v>1.5620000000000001</v>
      </c>
      <c r="H22">
        <v>19</v>
      </c>
      <c r="I22">
        <v>1</v>
      </c>
      <c r="M22">
        <v>1</v>
      </c>
      <c r="N22">
        <v>0</v>
      </c>
    </row>
    <row r="23" spans="1:14" x14ac:dyDescent="0.2">
      <c r="A23" t="s">
        <v>37</v>
      </c>
      <c r="B23">
        <v>7</v>
      </c>
      <c r="C23">
        <v>1</v>
      </c>
      <c r="D23">
        <v>1.702</v>
      </c>
      <c r="H23">
        <v>11</v>
      </c>
      <c r="J23">
        <v>0</v>
      </c>
      <c r="L23">
        <v>23</v>
      </c>
    </row>
    <row r="24" spans="1:14" x14ac:dyDescent="0.2">
      <c r="A24" t="s">
        <v>38</v>
      </c>
      <c r="B24">
        <v>7</v>
      </c>
      <c r="C24">
        <v>2</v>
      </c>
      <c r="D24">
        <v>1.742</v>
      </c>
      <c r="J24">
        <v>12</v>
      </c>
      <c r="L24">
        <v>7</v>
      </c>
    </row>
    <row r="25" spans="1:14" x14ac:dyDescent="0.2">
      <c r="A25" t="s">
        <v>39</v>
      </c>
      <c r="B25">
        <v>7</v>
      </c>
      <c r="C25">
        <v>3</v>
      </c>
      <c r="D25">
        <v>1.34</v>
      </c>
      <c r="H25">
        <v>12</v>
      </c>
      <c r="L25">
        <v>15</v>
      </c>
    </row>
    <row r="26" spans="1:14" x14ac:dyDescent="0.2">
      <c r="A26" t="s">
        <v>40</v>
      </c>
      <c r="B26">
        <v>8</v>
      </c>
      <c r="C26">
        <v>1</v>
      </c>
      <c r="D26">
        <v>1.4970000000000001</v>
      </c>
      <c r="H26">
        <v>23</v>
      </c>
      <c r="J26">
        <v>1</v>
      </c>
      <c r="L26">
        <v>18</v>
      </c>
    </row>
    <row r="27" spans="1:14" x14ac:dyDescent="0.2">
      <c r="A27" t="s">
        <v>41</v>
      </c>
      <c r="B27">
        <v>8</v>
      </c>
      <c r="C27">
        <v>2</v>
      </c>
      <c r="D27">
        <v>1.4370000000000001</v>
      </c>
      <c r="H27">
        <v>36</v>
      </c>
      <c r="L27">
        <v>7</v>
      </c>
    </row>
    <row r="28" spans="1:14" x14ac:dyDescent="0.2">
      <c r="A28" t="s">
        <v>42</v>
      </c>
      <c r="B28">
        <v>8</v>
      </c>
      <c r="C28">
        <v>3</v>
      </c>
      <c r="D28">
        <v>1.37</v>
      </c>
      <c r="H28">
        <v>33</v>
      </c>
      <c r="L2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FEC7-BB0B-4943-83B5-C23915686552}">
  <dimension ref="A1:K28"/>
  <sheetViews>
    <sheetView tabSelected="1" workbookViewId="0">
      <selection activeCell="J14" sqref="J14"/>
    </sheetView>
  </sheetViews>
  <sheetFormatPr baseColWidth="10" defaultRowHeight="16" x14ac:dyDescent="0.2"/>
  <cols>
    <col min="5" max="5" width="21.6640625" customWidth="1"/>
    <col min="9" max="9" width="21.83203125" customWidth="1"/>
  </cols>
  <sheetData>
    <row r="1" spans="1:11" x14ac:dyDescent="0.2">
      <c r="A1" t="s">
        <v>0</v>
      </c>
      <c r="B1" t="s">
        <v>4</v>
      </c>
      <c r="C1" t="s">
        <v>1</v>
      </c>
      <c r="D1" t="s">
        <v>2</v>
      </c>
      <c r="E1" t="s">
        <v>47</v>
      </c>
      <c r="F1" t="s">
        <v>51</v>
      </c>
      <c r="G1" t="s">
        <v>46</v>
      </c>
      <c r="H1" t="s">
        <v>45</v>
      </c>
      <c r="I1" t="s">
        <v>48</v>
      </c>
      <c r="J1" t="s">
        <v>50</v>
      </c>
      <c r="K1" t="s">
        <v>49</v>
      </c>
    </row>
    <row r="2" spans="1:11" x14ac:dyDescent="0.2">
      <c r="A2" t="s">
        <v>3</v>
      </c>
      <c r="B2">
        <v>0</v>
      </c>
      <c r="C2">
        <v>1</v>
      </c>
      <c r="D2">
        <v>0.29099999999999998</v>
      </c>
      <c r="E2">
        <v>265</v>
      </c>
      <c r="F2" s="1">
        <v>1E-3</v>
      </c>
      <c r="G2" s="1">
        <v>0.1</v>
      </c>
      <c r="H2" s="1">
        <f>E2/(F2*G2)</f>
        <v>2650000</v>
      </c>
      <c r="I2">
        <v>110</v>
      </c>
      <c r="J2" s="1">
        <v>0.1</v>
      </c>
      <c r="K2" s="1">
        <f>I2/(G2*J2)</f>
        <v>10999.999999999998</v>
      </c>
    </row>
    <row r="3" spans="1:11" x14ac:dyDescent="0.2">
      <c r="A3" t="s">
        <v>5</v>
      </c>
      <c r="B3">
        <v>0</v>
      </c>
      <c r="C3">
        <v>2</v>
      </c>
      <c r="D3">
        <v>0.33400000000000002</v>
      </c>
      <c r="E3">
        <v>313</v>
      </c>
      <c r="F3" s="1">
        <v>1E-3</v>
      </c>
      <c r="G3" s="1">
        <v>0.1</v>
      </c>
      <c r="H3" s="1">
        <f t="shared" ref="H3:H28" si="0">E3/(F3*G3)</f>
        <v>3130000</v>
      </c>
      <c r="I3">
        <v>121</v>
      </c>
      <c r="J3" s="1">
        <v>0.1</v>
      </c>
      <c r="K3" s="1">
        <f t="shared" ref="K3:K13" si="1">I3/(G3*J3)</f>
        <v>12099.999999999998</v>
      </c>
    </row>
    <row r="4" spans="1:11" x14ac:dyDescent="0.2">
      <c r="A4" t="s">
        <v>6</v>
      </c>
      <c r="B4">
        <v>0</v>
      </c>
      <c r="C4">
        <v>3</v>
      </c>
      <c r="D4">
        <v>0.32700000000000001</v>
      </c>
      <c r="E4">
        <v>379</v>
      </c>
      <c r="F4" s="1">
        <v>1E-3</v>
      </c>
      <c r="G4" s="1">
        <v>0.1</v>
      </c>
      <c r="H4" s="1">
        <f t="shared" si="0"/>
        <v>3790000</v>
      </c>
      <c r="I4">
        <v>118</v>
      </c>
      <c r="J4" s="1">
        <v>0.1</v>
      </c>
      <c r="K4" s="1">
        <f t="shared" si="1"/>
        <v>11799.999999999998</v>
      </c>
    </row>
    <row r="5" spans="1:11" x14ac:dyDescent="0.2">
      <c r="A5" t="s">
        <v>7</v>
      </c>
      <c r="B5">
        <v>1</v>
      </c>
      <c r="C5">
        <v>1</v>
      </c>
      <c r="D5">
        <v>0.49099999999999999</v>
      </c>
      <c r="E5">
        <v>395</v>
      </c>
      <c r="F5" s="1">
        <v>1E-3</v>
      </c>
      <c r="G5" s="1">
        <v>0.1</v>
      </c>
      <c r="H5" s="1">
        <f t="shared" si="0"/>
        <v>3950000</v>
      </c>
      <c r="I5">
        <v>4</v>
      </c>
      <c r="J5" s="1">
        <v>1E-3</v>
      </c>
      <c r="K5" s="1">
        <f t="shared" si="1"/>
        <v>40000</v>
      </c>
    </row>
    <row r="6" spans="1:11" x14ac:dyDescent="0.2">
      <c r="A6" t="s">
        <v>8</v>
      </c>
      <c r="B6">
        <v>1</v>
      </c>
      <c r="C6">
        <v>2</v>
      </c>
      <c r="D6">
        <v>0.63</v>
      </c>
      <c r="E6">
        <v>426</v>
      </c>
      <c r="F6" s="1">
        <v>1E-3</v>
      </c>
      <c r="G6" s="1">
        <v>0.1</v>
      </c>
      <c r="H6" s="1">
        <f t="shared" si="0"/>
        <v>4260000</v>
      </c>
      <c r="I6">
        <v>0</v>
      </c>
      <c r="J6" s="1">
        <v>1E-3</v>
      </c>
      <c r="K6" s="1">
        <f t="shared" si="1"/>
        <v>0</v>
      </c>
    </row>
    <row r="7" spans="1:11" x14ac:dyDescent="0.2">
      <c r="A7" t="s">
        <v>9</v>
      </c>
      <c r="B7">
        <v>1</v>
      </c>
      <c r="C7">
        <v>3</v>
      </c>
      <c r="D7">
        <v>0.48799999999999999</v>
      </c>
      <c r="E7">
        <v>500</v>
      </c>
      <c r="F7" s="1">
        <v>1E-3</v>
      </c>
      <c r="G7" s="1">
        <v>0.1</v>
      </c>
      <c r="H7" s="1">
        <f t="shared" si="0"/>
        <v>5000000</v>
      </c>
      <c r="I7">
        <v>2</v>
      </c>
      <c r="J7" s="1">
        <v>1E-3</v>
      </c>
      <c r="K7" s="1">
        <f t="shared" si="1"/>
        <v>20000</v>
      </c>
    </row>
    <row r="8" spans="1:11" x14ac:dyDescent="0.2">
      <c r="A8" t="s">
        <v>10</v>
      </c>
      <c r="B8">
        <v>2</v>
      </c>
      <c r="C8">
        <v>1</v>
      </c>
      <c r="D8">
        <v>0.76900000000000002</v>
      </c>
      <c r="E8">
        <v>35</v>
      </c>
      <c r="F8" s="1">
        <v>1.0000000000000001E-5</v>
      </c>
      <c r="G8" s="1">
        <v>0.1</v>
      </c>
      <c r="H8" s="1">
        <f t="shared" si="0"/>
        <v>34999999.999999993</v>
      </c>
      <c r="I8">
        <v>2</v>
      </c>
      <c r="J8" s="1">
        <v>1E-3</v>
      </c>
      <c r="K8" s="1">
        <f t="shared" si="1"/>
        <v>20000</v>
      </c>
    </row>
    <row r="9" spans="1:11" x14ac:dyDescent="0.2">
      <c r="A9" t="s">
        <v>11</v>
      </c>
      <c r="B9">
        <v>2</v>
      </c>
      <c r="C9">
        <v>2</v>
      </c>
      <c r="D9">
        <v>0.76800000000000002</v>
      </c>
      <c r="E9">
        <v>53</v>
      </c>
      <c r="F9" s="1">
        <v>1.0000000000000001E-5</v>
      </c>
      <c r="G9" s="1">
        <v>0.1</v>
      </c>
      <c r="H9" s="1">
        <f t="shared" si="0"/>
        <v>52999999.999999993</v>
      </c>
      <c r="I9">
        <v>3</v>
      </c>
      <c r="J9" s="1">
        <v>1E-3</v>
      </c>
      <c r="K9" s="1">
        <f t="shared" si="1"/>
        <v>30000</v>
      </c>
    </row>
    <row r="10" spans="1:11" x14ac:dyDescent="0.2">
      <c r="A10" t="s">
        <v>12</v>
      </c>
      <c r="B10">
        <v>2</v>
      </c>
      <c r="C10">
        <v>3</v>
      </c>
      <c r="D10">
        <v>0.77400000000000002</v>
      </c>
      <c r="E10">
        <v>38</v>
      </c>
      <c r="F10" s="1">
        <v>1.0000000000000001E-5</v>
      </c>
      <c r="G10" s="1">
        <v>0.1</v>
      </c>
      <c r="H10" s="1">
        <f t="shared" si="0"/>
        <v>37999999.999999993</v>
      </c>
      <c r="I10">
        <v>2</v>
      </c>
      <c r="J10" s="1">
        <v>1E-3</v>
      </c>
      <c r="K10" s="1">
        <f t="shared" si="1"/>
        <v>20000</v>
      </c>
    </row>
    <row r="11" spans="1:11" x14ac:dyDescent="0.2">
      <c r="A11" t="s">
        <v>13</v>
      </c>
      <c r="B11">
        <v>3</v>
      </c>
      <c r="C11">
        <v>1</v>
      </c>
      <c r="D11">
        <v>1.004</v>
      </c>
      <c r="E11">
        <v>20</v>
      </c>
      <c r="F11" s="1">
        <v>9.9999999999999995E-7</v>
      </c>
      <c r="G11" s="1">
        <v>0.1</v>
      </c>
      <c r="H11" s="1">
        <f t="shared" si="0"/>
        <v>200000000</v>
      </c>
      <c r="I11" s="1">
        <v>0</v>
      </c>
      <c r="J11" s="1">
        <v>1E-4</v>
      </c>
      <c r="K11" s="1">
        <f t="shared" si="1"/>
        <v>0</v>
      </c>
    </row>
    <row r="12" spans="1:11" x14ac:dyDescent="0.2">
      <c r="A12" t="s">
        <v>14</v>
      </c>
      <c r="B12">
        <v>3</v>
      </c>
      <c r="C12">
        <v>2</v>
      </c>
      <c r="D12">
        <v>0.92500000000000004</v>
      </c>
      <c r="E12">
        <v>23</v>
      </c>
      <c r="F12" s="1">
        <v>9.9999999999999995E-7</v>
      </c>
      <c r="G12" s="1">
        <v>0.1</v>
      </c>
      <c r="H12" s="1">
        <f t="shared" si="0"/>
        <v>230000000</v>
      </c>
      <c r="I12" s="1">
        <v>0</v>
      </c>
      <c r="J12" s="1">
        <v>1E-4</v>
      </c>
      <c r="K12" s="1">
        <f t="shared" si="1"/>
        <v>0</v>
      </c>
    </row>
    <row r="13" spans="1:11" x14ac:dyDescent="0.2">
      <c r="A13" t="s">
        <v>15</v>
      </c>
      <c r="B13">
        <v>3</v>
      </c>
      <c r="C13">
        <v>3</v>
      </c>
      <c r="D13">
        <v>0.78800000000000003</v>
      </c>
      <c r="E13">
        <v>8</v>
      </c>
      <c r="F13" s="1">
        <v>9.9999999999999995E-7</v>
      </c>
      <c r="G13" s="1">
        <v>0.1</v>
      </c>
      <c r="H13" s="1">
        <f t="shared" si="0"/>
        <v>80000000</v>
      </c>
      <c r="I13" s="1">
        <v>0</v>
      </c>
      <c r="J13" s="1">
        <v>1E-4</v>
      </c>
      <c r="K13" s="1">
        <f t="shared" si="1"/>
        <v>0</v>
      </c>
    </row>
    <row r="14" spans="1:11" x14ac:dyDescent="0.2">
      <c r="A14" t="s">
        <v>16</v>
      </c>
      <c r="B14">
        <v>4</v>
      </c>
      <c r="C14">
        <v>1</v>
      </c>
      <c r="D14">
        <v>1.1539999999999999</v>
      </c>
      <c r="E14">
        <v>32</v>
      </c>
      <c r="F14" s="1">
        <v>9.9999999999999995E-7</v>
      </c>
      <c r="G14" s="1">
        <v>0.1</v>
      </c>
      <c r="H14" s="1">
        <f t="shared" si="0"/>
        <v>320000000</v>
      </c>
      <c r="I14">
        <v>11</v>
      </c>
      <c r="J14" s="1">
        <v>0.1</v>
      </c>
      <c r="K14" s="1">
        <f t="shared" ref="K14:K28" si="2">I14/(G14*J14)</f>
        <v>1099.9999999999998</v>
      </c>
    </row>
    <row r="15" spans="1:11" x14ac:dyDescent="0.2">
      <c r="A15" t="s">
        <v>17</v>
      </c>
      <c r="B15">
        <v>4</v>
      </c>
      <c r="C15">
        <v>2</v>
      </c>
      <c r="D15">
        <v>1.2989999999999999</v>
      </c>
      <c r="E15">
        <v>40</v>
      </c>
      <c r="F15" s="1">
        <v>9.9999999999999995E-7</v>
      </c>
      <c r="G15" s="1">
        <v>0.1</v>
      </c>
      <c r="H15" s="1">
        <f t="shared" si="0"/>
        <v>400000000</v>
      </c>
      <c r="I15">
        <v>16</v>
      </c>
      <c r="J15" s="1">
        <v>0.1</v>
      </c>
      <c r="K15" s="1">
        <f t="shared" si="2"/>
        <v>1599.9999999999998</v>
      </c>
    </row>
    <row r="16" spans="1:11" x14ac:dyDescent="0.2">
      <c r="A16" t="s">
        <v>18</v>
      </c>
      <c r="B16">
        <v>4</v>
      </c>
      <c r="C16">
        <v>3</v>
      </c>
      <c r="D16">
        <v>1.075</v>
      </c>
      <c r="E16">
        <v>27</v>
      </c>
      <c r="F16" s="1">
        <v>9.9999999999999995E-7</v>
      </c>
      <c r="G16" s="1">
        <v>0.1</v>
      </c>
      <c r="H16" s="1">
        <f t="shared" si="0"/>
        <v>270000000</v>
      </c>
      <c r="I16">
        <v>19</v>
      </c>
      <c r="J16" s="1">
        <v>0.1</v>
      </c>
      <c r="K16" s="1">
        <f t="shared" si="2"/>
        <v>1899.9999999999995</v>
      </c>
    </row>
    <row r="17" spans="1:11" x14ac:dyDescent="0.2">
      <c r="A17" t="s">
        <v>31</v>
      </c>
      <c r="B17">
        <v>5</v>
      </c>
      <c r="C17">
        <v>1</v>
      </c>
      <c r="D17">
        <v>1.3680000000000001</v>
      </c>
      <c r="E17">
        <v>26</v>
      </c>
      <c r="F17" s="1">
        <v>9.9999999999999995E-7</v>
      </c>
      <c r="G17" s="1">
        <v>0.1</v>
      </c>
      <c r="H17" s="1">
        <f t="shared" si="0"/>
        <v>260000000</v>
      </c>
      <c r="I17">
        <v>195</v>
      </c>
      <c r="J17" s="1">
        <v>0.01</v>
      </c>
      <c r="K17" s="1">
        <f t="shared" si="2"/>
        <v>195000</v>
      </c>
    </row>
    <row r="18" spans="1:11" x14ac:dyDescent="0.2">
      <c r="A18" t="s">
        <v>32</v>
      </c>
      <c r="B18">
        <v>5</v>
      </c>
      <c r="C18">
        <v>2</v>
      </c>
      <c r="D18">
        <v>1.3480000000000001</v>
      </c>
      <c r="E18">
        <v>28</v>
      </c>
      <c r="F18" s="1">
        <v>9.9999999999999995E-7</v>
      </c>
      <c r="G18" s="1">
        <v>0.1</v>
      </c>
      <c r="H18" s="1">
        <f t="shared" si="0"/>
        <v>280000000</v>
      </c>
      <c r="I18">
        <v>190</v>
      </c>
      <c r="J18" s="1">
        <v>0.01</v>
      </c>
      <c r="K18" s="1">
        <f t="shared" si="2"/>
        <v>190000</v>
      </c>
    </row>
    <row r="19" spans="1:11" x14ac:dyDescent="0.2">
      <c r="A19" t="s">
        <v>33</v>
      </c>
      <c r="B19">
        <v>5</v>
      </c>
      <c r="C19">
        <v>3</v>
      </c>
      <c r="D19">
        <v>1.49</v>
      </c>
      <c r="E19">
        <v>35</v>
      </c>
      <c r="F19" s="1">
        <v>9.9999999999999995E-7</v>
      </c>
      <c r="G19" s="1">
        <v>0.1</v>
      </c>
      <c r="H19" s="1">
        <f t="shared" si="0"/>
        <v>350000000</v>
      </c>
      <c r="I19">
        <v>234</v>
      </c>
      <c r="J19" s="1">
        <v>0.01</v>
      </c>
      <c r="K19" s="1">
        <f t="shared" si="2"/>
        <v>234000</v>
      </c>
    </row>
    <row r="20" spans="1:11" x14ac:dyDescent="0.2">
      <c r="A20" t="s">
        <v>34</v>
      </c>
      <c r="B20">
        <v>6</v>
      </c>
      <c r="C20">
        <v>1</v>
      </c>
      <c r="D20">
        <v>1.659</v>
      </c>
      <c r="E20">
        <v>8</v>
      </c>
      <c r="F20" s="1">
        <v>9.9999999999999995E-7</v>
      </c>
      <c r="G20" s="1">
        <v>0.1</v>
      </c>
      <c r="H20" s="1">
        <f t="shared" si="0"/>
        <v>80000000</v>
      </c>
      <c r="I20">
        <v>0</v>
      </c>
      <c r="J20" s="1">
        <v>1E-3</v>
      </c>
      <c r="K20" s="1">
        <f t="shared" si="2"/>
        <v>0</v>
      </c>
    </row>
    <row r="21" spans="1:11" x14ac:dyDescent="0.2">
      <c r="A21" t="s">
        <v>35</v>
      </c>
      <c r="B21">
        <v>6</v>
      </c>
      <c r="C21">
        <v>2</v>
      </c>
      <c r="D21">
        <v>1.6060000000000001</v>
      </c>
      <c r="E21">
        <v>15</v>
      </c>
      <c r="F21" s="1">
        <v>9.9999999999999995E-7</v>
      </c>
      <c r="G21" s="1">
        <v>0.1</v>
      </c>
      <c r="H21" s="1">
        <f t="shared" si="0"/>
        <v>150000000</v>
      </c>
      <c r="I21">
        <v>4</v>
      </c>
      <c r="J21" s="1">
        <v>1E-3</v>
      </c>
      <c r="K21" s="1">
        <f t="shared" si="2"/>
        <v>40000</v>
      </c>
    </row>
    <row r="22" spans="1:11" x14ac:dyDescent="0.2">
      <c r="A22" t="s">
        <v>36</v>
      </c>
      <c r="B22">
        <v>6</v>
      </c>
      <c r="C22">
        <v>3</v>
      </c>
      <c r="D22">
        <v>1.5620000000000001</v>
      </c>
      <c r="E22">
        <v>19</v>
      </c>
      <c r="F22" s="1">
        <v>9.9999999999999995E-7</v>
      </c>
      <c r="G22" s="1">
        <v>0.1</v>
      </c>
      <c r="H22" s="1">
        <f t="shared" si="0"/>
        <v>190000000</v>
      </c>
      <c r="I22">
        <v>1</v>
      </c>
      <c r="J22" s="1">
        <v>1E-3</v>
      </c>
      <c r="K22" s="1">
        <f t="shared" si="2"/>
        <v>10000</v>
      </c>
    </row>
    <row r="23" spans="1:11" x14ac:dyDescent="0.2">
      <c r="A23" t="s">
        <v>37</v>
      </c>
      <c r="B23">
        <v>7</v>
      </c>
      <c r="C23">
        <v>1</v>
      </c>
      <c r="D23">
        <v>1.702</v>
      </c>
      <c r="E23">
        <v>11</v>
      </c>
      <c r="F23" s="1">
        <v>9.9999999999999995E-7</v>
      </c>
      <c r="G23" s="1">
        <v>0.1</v>
      </c>
      <c r="H23" s="1">
        <f t="shared" si="0"/>
        <v>110000000</v>
      </c>
      <c r="I23">
        <v>23</v>
      </c>
      <c r="J23" s="1">
        <v>0.01</v>
      </c>
      <c r="K23" s="1">
        <f t="shared" si="2"/>
        <v>23000</v>
      </c>
    </row>
    <row r="24" spans="1:11" x14ac:dyDescent="0.2">
      <c r="A24" t="s">
        <v>38</v>
      </c>
      <c r="B24">
        <v>7</v>
      </c>
      <c r="C24">
        <v>2</v>
      </c>
      <c r="D24">
        <v>1.742</v>
      </c>
      <c r="E24">
        <v>12</v>
      </c>
      <c r="F24" s="1">
        <v>1E-8</v>
      </c>
      <c r="G24" s="1">
        <v>0.1</v>
      </c>
      <c r="H24" s="1">
        <f t="shared" si="0"/>
        <v>12000000000</v>
      </c>
      <c r="I24">
        <v>7</v>
      </c>
      <c r="J24" s="1">
        <v>0.01</v>
      </c>
      <c r="K24" s="1">
        <f t="shared" si="2"/>
        <v>7000</v>
      </c>
    </row>
    <row r="25" spans="1:11" x14ac:dyDescent="0.2">
      <c r="A25" t="s">
        <v>39</v>
      </c>
      <c r="B25">
        <v>7</v>
      </c>
      <c r="C25">
        <v>3</v>
      </c>
      <c r="D25">
        <v>1.34</v>
      </c>
      <c r="E25">
        <v>12</v>
      </c>
      <c r="F25" s="1">
        <v>9.9999999999999995E-7</v>
      </c>
      <c r="G25" s="1">
        <v>0.1</v>
      </c>
      <c r="H25" s="1">
        <f t="shared" si="0"/>
        <v>120000000</v>
      </c>
      <c r="I25">
        <v>15</v>
      </c>
      <c r="J25" s="1">
        <v>0.01</v>
      </c>
      <c r="K25" s="1">
        <f t="shared" si="2"/>
        <v>15000</v>
      </c>
    </row>
    <row r="26" spans="1:11" x14ac:dyDescent="0.2">
      <c r="A26" t="s">
        <v>40</v>
      </c>
      <c r="B26">
        <v>8</v>
      </c>
      <c r="C26">
        <v>1</v>
      </c>
      <c r="D26">
        <v>1.4970000000000001</v>
      </c>
      <c r="E26">
        <v>23</v>
      </c>
      <c r="F26" s="1">
        <v>9.9999999999999995E-7</v>
      </c>
      <c r="G26" s="1">
        <v>0.1</v>
      </c>
      <c r="H26" s="1">
        <f t="shared" si="0"/>
        <v>230000000</v>
      </c>
      <c r="I26">
        <v>18</v>
      </c>
      <c r="J26" s="1">
        <v>0.01</v>
      </c>
      <c r="K26" s="1">
        <f t="shared" si="2"/>
        <v>18000</v>
      </c>
    </row>
    <row r="27" spans="1:11" x14ac:dyDescent="0.2">
      <c r="A27" t="s">
        <v>41</v>
      </c>
      <c r="B27">
        <v>8</v>
      </c>
      <c r="C27">
        <v>2</v>
      </c>
      <c r="D27">
        <v>1.4370000000000001</v>
      </c>
      <c r="E27">
        <v>36</v>
      </c>
      <c r="F27" s="1">
        <v>9.9999999999999995E-7</v>
      </c>
      <c r="G27" s="1">
        <v>0.1</v>
      </c>
      <c r="H27" s="1">
        <f t="shared" si="0"/>
        <v>360000000</v>
      </c>
      <c r="I27">
        <v>7</v>
      </c>
      <c r="J27" s="1">
        <v>0.01</v>
      </c>
      <c r="K27" s="1">
        <f t="shared" si="2"/>
        <v>7000</v>
      </c>
    </row>
    <row r="28" spans="1:11" x14ac:dyDescent="0.2">
      <c r="A28" t="s">
        <v>42</v>
      </c>
      <c r="B28">
        <v>8</v>
      </c>
      <c r="C28">
        <v>3</v>
      </c>
      <c r="D28">
        <v>1.37</v>
      </c>
      <c r="E28">
        <v>33</v>
      </c>
      <c r="F28" s="1">
        <v>9.9999999999999995E-7</v>
      </c>
      <c r="G28" s="1">
        <v>0.1</v>
      </c>
      <c r="H28" s="1">
        <f t="shared" si="0"/>
        <v>330000000</v>
      </c>
      <c r="I28">
        <v>6</v>
      </c>
      <c r="J28" s="1">
        <v>0.01</v>
      </c>
      <c r="K28" s="1">
        <f t="shared" si="2"/>
        <v>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00E44F-88A1-4E58-A751-B9FA2642B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DA8A0A-59CC-4D02-AF41-3794A39BC040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f0f9615f-c5bb-4d0d-9154-15db78a898aa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4B8E36E-BE72-4883-AE40-470E7B53F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2026-04-19T19:41:09Z</dcterms:created>
  <dcterms:modified xsi:type="dcterms:W3CDTF">2026-04-27T17:32:12Z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