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"/>
    </mc:Choice>
  </mc:AlternateContent>
  <xr:revisionPtr revIDLastSave="0" documentId="8_{D3150FF0-D575-DC42-8DA0-530A1B3850D5}" xr6:coauthVersionLast="47" xr6:coauthVersionMax="47" xr10:uidLastSave="{00000000-0000-0000-0000-000000000000}"/>
  <bookViews>
    <workbookView xWindow="2120" yWindow="4100" windowWidth="27640" windowHeight="16940" xr2:uid="{6F350832-6EA5-FE43-AF0A-AA87720D692F}"/>
  </bookViews>
  <sheets>
    <sheet name="syn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M7" i="1" s="1"/>
  <c r="L8" i="1"/>
  <c r="M8" i="1" s="1"/>
  <c r="L15" i="1"/>
  <c r="M15" i="1" s="1"/>
  <c r="L16" i="1"/>
  <c r="M16" i="1" s="1"/>
  <c r="K3" i="1"/>
  <c r="K4" i="1"/>
  <c r="K5" i="1"/>
  <c r="L5" i="1" s="1"/>
  <c r="M5" i="1" s="1"/>
  <c r="K6" i="1"/>
  <c r="L6" i="1" s="1"/>
  <c r="M6" i="1" s="1"/>
  <c r="K7" i="1"/>
  <c r="K8" i="1"/>
  <c r="K9" i="1"/>
  <c r="K10" i="1"/>
  <c r="K11" i="1"/>
  <c r="K12" i="1"/>
  <c r="K13" i="1"/>
  <c r="L13" i="1" s="1"/>
  <c r="M13" i="1" s="1"/>
  <c r="K14" i="1"/>
  <c r="L14" i="1" s="1"/>
  <c r="M14" i="1" s="1"/>
  <c r="K15" i="1"/>
  <c r="K16" i="1"/>
  <c r="K17" i="1"/>
  <c r="K18" i="1"/>
  <c r="K19" i="1"/>
  <c r="K2" i="1"/>
  <c r="H3" i="1"/>
  <c r="L3" i="1" s="1"/>
  <c r="M3" i="1" s="1"/>
  <c r="H4" i="1"/>
  <c r="L4" i="1" s="1"/>
  <c r="M4" i="1" s="1"/>
  <c r="H5" i="1"/>
  <c r="H6" i="1"/>
  <c r="H7" i="1"/>
  <c r="H8" i="1"/>
  <c r="H9" i="1"/>
  <c r="L9" i="1" s="1"/>
  <c r="M9" i="1" s="1"/>
  <c r="H10" i="1"/>
  <c r="L10" i="1" s="1"/>
  <c r="M10" i="1" s="1"/>
  <c r="H11" i="1"/>
  <c r="L11" i="1" s="1"/>
  <c r="M11" i="1" s="1"/>
  <c r="H12" i="1"/>
  <c r="L12" i="1" s="1"/>
  <c r="M12" i="1" s="1"/>
  <c r="H13" i="1"/>
  <c r="H14" i="1"/>
  <c r="H15" i="1"/>
  <c r="H16" i="1"/>
  <c r="H17" i="1"/>
  <c r="L17" i="1" s="1"/>
  <c r="M17" i="1" s="1"/>
  <c r="H18" i="1"/>
  <c r="L18" i="1" s="1"/>
  <c r="M18" i="1" s="1"/>
  <c r="H19" i="1"/>
  <c r="L19" i="1" s="1"/>
  <c r="M19" i="1" s="1"/>
  <c r="H2" i="1"/>
  <c r="L2" i="1" s="1"/>
  <c r="M2" i="1" s="1"/>
</calcChain>
</file>

<file path=xl/sharedStrings.xml><?xml version="1.0" encoding="utf-8"?>
<sst xmlns="http://schemas.openxmlformats.org/spreadsheetml/2006/main" count="31" uniqueCount="31">
  <si>
    <t>Sample</t>
  </si>
  <si>
    <t>Time (h)</t>
  </si>
  <si>
    <t>Replicate</t>
  </si>
  <si>
    <t>OD600</t>
  </si>
  <si>
    <t>veg.colonies</t>
  </si>
  <si>
    <t>veg.dilution</t>
  </si>
  <si>
    <t>volume.ml</t>
  </si>
  <si>
    <t>veg.cells.ml</t>
  </si>
  <si>
    <t>spore.colonies</t>
  </si>
  <si>
    <t>spore.dilution</t>
  </si>
  <si>
    <t>spores.ml</t>
  </si>
  <si>
    <t>T0R1</t>
  </si>
  <si>
    <t>T0R2</t>
  </si>
  <si>
    <t>T0R3</t>
  </si>
  <si>
    <t>T5R1</t>
  </si>
  <si>
    <t>T5R2</t>
  </si>
  <si>
    <t>T5R3</t>
  </si>
  <si>
    <t>T10R1</t>
  </si>
  <si>
    <t>T10R2</t>
  </si>
  <si>
    <t>T10R3</t>
  </si>
  <si>
    <t>T16R1</t>
  </si>
  <si>
    <t>T16R2</t>
  </si>
  <si>
    <t>T16R3</t>
  </si>
  <si>
    <t>T20R1</t>
  </si>
  <si>
    <t>T20R2</t>
  </si>
  <si>
    <t>T20R3</t>
  </si>
  <si>
    <t>T25R1</t>
  </si>
  <si>
    <t>T25R2</t>
  </si>
  <si>
    <t>T25R3</t>
  </si>
  <si>
    <t>corr.veg.cells.ml</t>
  </si>
  <si>
    <t>total_cells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</si>
</sst>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1077-6971-A548-B8A3-C81628DB73F7}">
  <dimension ref="A1:M19"/>
  <sheetViews>
    <sheetView tabSelected="1" workbookViewId="0">
      <selection activeCell="M2" sqref="M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30</v>
      </c>
      <c r="M1" t="s">
        <v>29</v>
      </c>
    </row>
    <row r="2" spans="1:13" x14ac:dyDescent="0.2">
      <c r="A2" t="s">
        <v>11</v>
      </c>
      <c r="B2">
        <v>0</v>
      </c>
      <c r="C2">
        <v>1</v>
      </c>
      <c r="D2">
        <v>0.78</v>
      </c>
      <c r="E2">
        <v>903</v>
      </c>
      <c r="F2" s="1">
        <v>1E-4</v>
      </c>
      <c r="G2">
        <v>0.1</v>
      </c>
      <c r="H2" s="1">
        <f>E2/(F2*G2)</f>
        <v>90300000</v>
      </c>
      <c r="I2">
        <v>12</v>
      </c>
      <c r="J2" s="1">
        <v>0.01</v>
      </c>
      <c r="K2" s="1">
        <f>I2/(J2*G2)</f>
        <v>12000</v>
      </c>
      <c r="L2" s="1">
        <f>H2+K2</f>
        <v>90312000</v>
      </c>
      <c r="M2" s="1">
        <f>L2-K2</f>
        <v>90300000</v>
      </c>
    </row>
    <row r="3" spans="1:13" x14ac:dyDescent="0.2">
      <c r="A3" t="s">
        <v>12</v>
      </c>
      <c r="B3">
        <v>0</v>
      </c>
      <c r="C3">
        <v>2</v>
      </c>
      <c r="D3">
        <v>0.67100000000000004</v>
      </c>
      <c r="E3">
        <v>1361</v>
      </c>
      <c r="F3" s="1">
        <v>1E-4</v>
      </c>
      <c r="G3">
        <v>0.1</v>
      </c>
      <c r="H3" s="1">
        <f t="shared" ref="H3:H19" si="0">E3/(F3*G3)</f>
        <v>136100000</v>
      </c>
      <c r="I3">
        <v>19</v>
      </c>
      <c r="J3" s="1">
        <v>0.01</v>
      </c>
      <c r="K3" s="1">
        <f>I3/(J3*G3)</f>
        <v>19000</v>
      </c>
      <c r="L3" s="1">
        <f>H3+K3</f>
        <v>136119000</v>
      </c>
      <c r="M3" s="1">
        <f t="shared" ref="M3:M19" si="1">L3-K3</f>
        <v>136100000</v>
      </c>
    </row>
    <row r="4" spans="1:13" x14ac:dyDescent="0.2">
      <c r="A4" t="s">
        <v>13</v>
      </c>
      <c r="B4">
        <v>0</v>
      </c>
      <c r="C4">
        <v>3</v>
      </c>
      <c r="D4">
        <v>0.81399999999999995</v>
      </c>
      <c r="E4">
        <v>1220</v>
      </c>
      <c r="F4" s="1">
        <v>1E-4</v>
      </c>
      <c r="G4">
        <v>0.1</v>
      </c>
      <c r="H4" s="1">
        <f t="shared" si="0"/>
        <v>121999999.99999999</v>
      </c>
      <c r="I4">
        <v>9</v>
      </c>
      <c r="J4" s="1">
        <v>0.01</v>
      </c>
      <c r="K4" s="1">
        <f>I4/(J4*G4)</f>
        <v>9000</v>
      </c>
      <c r="L4" s="1">
        <f>H4+K4</f>
        <v>122008999.99999999</v>
      </c>
      <c r="M4" s="1">
        <f t="shared" si="1"/>
        <v>121999999.99999999</v>
      </c>
    </row>
    <row r="5" spans="1:13" x14ac:dyDescent="0.2">
      <c r="A5" t="s">
        <v>14</v>
      </c>
      <c r="B5">
        <v>5</v>
      </c>
      <c r="C5">
        <v>1</v>
      </c>
      <c r="D5">
        <v>1.9630000000000001</v>
      </c>
      <c r="E5">
        <v>1</v>
      </c>
      <c r="F5" s="1">
        <v>9.9999999999999995E-7</v>
      </c>
      <c r="G5">
        <v>0.1</v>
      </c>
      <c r="H5" s="1">
        <f t="shared" si="0"/>
        <v>10000000</v>
      </c>
      <c r="I5">
        <v>0</v>
      </c>
      <c r="J5" s="1">
        <v>1E-4</v>
      </c>
      <c r="K5" s="1">
        <f>I5/(J5*G5)</f>
        <v>0</v>
      </c>
      <c r="L5" s="1">
        <f>H5+K5</f>
        <v>10000000</v>
      </c>
      <c r="M5" s="1">
        <f t="shared" si="1"/>
        <v>10000000</v>
      </c>
    </row>
    <row r="6" spans="1:13" x14ac:dyDescent="0.2">
      <c r="A6" t="s">
        <v>15</v>
      </c>
      <c r="B6">
        <v>5</v>
      </c>
      <c r="C6">
        <v>2</v>
      </c>
      <c r="D6">
        <v>1.881</v>
      </c>
      <c r="E6">
        <v>7</v>
      </c>
      <c r="F6" s="1">
        <v>9.9999999999999995E-7</v>
      </c>
      <c r="G6">
        <v>0.1</v>
      </c>
      <c r="H6" s="1">
        <f t="shared" si="0"/>
        <v>70000000</v>
      </c>
      <c r="I6">
        <v>1</v>
      </c>
      <c r="J6" s="1">
        <v>1E-4</v>
      </c>
      <c r="K6" s="1">
        <f>I6/(J6*G6)</f>
        <v>99999.999999999985</v>
      </c>
      <c r="L6" s="1">
        <f>H6+K6</f>
        <v>70100000</v>
      </c>
      <c r="M6" s="1">
        <f t="shared" si="1"/>
        <v>70000000</v>
      </c>
    </row>
    <row r="7" spans="1:13" x14ac:dyDescent="0.2">
      <c r="A7" t="s">
        <v>16</v>
      </c>
      <c r="B7">
        <v>5</v>
      </c>
      <c r="C7">
        <v>3</v>
      </c>
      <c r="D7">
        <v>1.7689999999999999</v>
      </c>
      <c r="E7">
        <v>80</v>
      </c>
      <c r="F7" s="1">
        <v>9.9999999999999995E-7</v>
      </c>
      <c r="G7">
        <v>0.1</v>
      </c>
      <c r="H7" s="1">
        <f t="shared" si="0"/>
        <v>800000000</v>
      </c>
      <c r="I7">
        <v>0</v>
      </c>
      <c r="J7" s="1">
        <v>1E-4</v>
      </c>
      <c r="K7" s="1">
        <f>I7/(J7*G7)</f>
        <v>0</v>
      </c>
      <c r="L7" s="1">
        <f>H7+K7</f>
        <v>800000000</v>
      </c>
      <c r="M7" s="1">
        <f t="shared" si="1"/>
        <v>800000000</v>
      </c>
    </row>
    <row r="8" spans="1:13" x14ac:dyDescent="0.2">
      <c r="A8" t="s">
        <v>17</v>
      </c>
      <c r="B8">
        <v>10</v>
      </c>
      <c r="C8">
        <v>1</v>
      </c>
      <c r="D8">
        <v>1.4330000000000001</v>
      </c>
      <c r="E8">
        <v>53</v>
      </c>
      <c r="F8" s="1">
        <v>9.9999999999999995E-7</v>
      </c>
      <c r="G8">
        <v>0.1</v>
      </c>
      <c r="H8" s="1">
        <f t="shared" si="0"/>
        <v>530000000</v>
      </c>
      <c r="I8">
        <v>58</v>
      </c>
      <c r="J8" s="1">
        <v>1E-4</v>
      </c>
      <c r="K8" s="1">
        <f>I8/(J8*G8)</f>
        <v>5799999.9999999991</v>
      </c>
      <c r="L8" s="1">
        <f>H8+K8</f>
        <v>535800000</v>
      </c>
      <c r="M8" s="1">
        <f t="shared" si="1"/>
        <v>530000000</v>
      </c>
    </row>
    <row r="9" spans="1:13" x14ac:dyDescent="0.2">
      <c r="A9" t="s">
        <v>18</v>
      </c>
      <c r="B9">
        <v>10</v>
      </c>
      <c r="C9">
        <v>2</v>
      </c>
      <c r="D9">
        <v>1.4870000000000001</v>
      </c>
      <c r="E9">
        <v>30</v>
      </c>
      <c r="F9" s="1">
        <v>9.9999999999999995E-7</v>
      </c>
      <c r="G9">
        <v>0.1</v>
      </c>
      <c r="H9" s="1">
        <f t="shared" si="0"/>
        <v>300000000</v>
      </c>
      <c r="I9">
        <v>67</v>
      </c>
      <c r="J9" s="1">
        <v>1E-4</v>
      </c>
      <c r="K9" s="1">
        <f>I9/(J9*G9)</f>
        <v>6699999.9999999991</v>
      </c>
      <c r="L9" s="1">
        <f>H9+K9</f>
        <v>306700000</v>
      </c>
      <c r="M9" s="1">
        <f t="shared" si="1"/>
        <v>300000000</v>
      </c>
    </row>
    <row r="10" spans="1:13" x14ac:dyDescent="0.2">
      <c r="A10" t="s">
        <v>19</v>
      </c>
      <c r="B10">
        <v>10</v>
      </c>
      <c r="C10">
        <v>3</v>
      </c>
      <c r="D10">
        <v>1.597</v>
      </c>
      <c r="E10">
        <v>66</v>
      </c>
      <c r="F10" s="1">
        <v>9.9999999999999995E-7</v>
      </c>
      <c r="G10">
        <v>0.1</v>
      </c>
      <c r="H10" s="1">
        <f t="shared" si="0"/>
        <v>660000000</v>
      </c>
      <c r="I10">
        <v>83</v>
      </c>
      <c r="J10" s="1">
        <v>1E-4</v>
      </c>
      <c r="K10" s="1">
        <f>I10/(J10*G10)</f>
        <v>8299999.9999999991</v>
      </c>
      <c r="L10" s="1">
        <f>H10+K10</f>
        <v>668300000</v>
      </c>
      <c r="M10" s="1">
        <f t="shared" si="1"/>
        <v>660000000</v>
      </c>
    </row>
    <row r="11" spans="1:13" x14ac:dyDescent="0.2">
      <c r="A11" t="s">
        <v>20</v>
      </c>
      <c r="B11">
        <v>16</v>
      </c>
      <c r="C11">
        <v>1</v>
      </c>
      <c r="D11">
        <v>1.738</v>
      </c>
      <c r="E11">
        <v>13</v>
      </c>
      <c r="F11" s="1">
        <v>9.9999999999999995E-7</v>
      </c>
      <c r="G11">
        <v>0.1</v>
      </c>
      <c r="H11" s="1">
        <f t="shared" si="0"/>
        <v>130000000</v>
      </c>
      <c r="I11">
        <v>261</v>
      </c>
      <c r="J11" s="1">
        <v>1E-4</v>
      </c>
      <c r="K11" s="1">
        <f>I11/(J11*G11)</f>
        <v>26099999.999999996</v>
      </c>
      <c r="L11" s="1">
        <f>H11+K11</f>
        <v>156100000</v>
      </c>
      <c r="M11" s="1">
        <f t="shared" si="1"/>
        <v>130000000</v>
      </c>
    </row>
    <row r="12" spans="1:13" x14ac:dyDescent="0.2">
      <c r="A12" t="s">
        <v>21</v>
      </c>
      <c r="B12">
        <v>16</v>
      </c>
      <c r="C12">
        <v>2</v>
      </c>
      <c r="D12">
        <v>2.1659999999999999</v>
      </c>
      <c r="E12">
        <v>0</v>
      </c>
      <c r="F12" s="1">
        <v>9.9999999999999995E-7</v>
      </c>
      <c r="G12">
        <v>0.1</v>
      </c>
      <c r="H12" s="1">
        <f t="shared" si="0"/>
        <v>0</v>
      </c>
      <c r="I12">
        <v>504</v>
      </c>
      <c r="J12" s="1">
        <v>1E-4</v>
      </c>
      <c r="K12" s="1">
        <f>I12/(J12*G12)</f>
        <v>50399999.999999993</v>
      </c>
      <c r="L12" s="1">
        <f>H12+K12</f>
        <v>50399999.999999993</v>
      </c>
      <c r="M12" s="1">
        <f t="shared" si="1"/>
        <v>0</v>
      </c>
    </row>
    <row r="13" spans="1:13" x14ac:dyDescent="0.2">
      <c r="A13" t="s">
        <v>22</v>
      </c>
      <c r="B13">
        <v>16</v>
      </c>
      <c r="C13">
        <v>3</v>
      </c>
      <c r="D13">
        <v>2.0409999999999999</v>
      </c>
      <c r="E13">
        <v>14</v>
      </c>
      <c r="F13" s="1">
        <v>9.9999999999999995E-7</v>
      </c>
      <c r="G13">
        <v>0.1</v>
      </c>
      <c r="H13" s="1">
        <f t="shared" si="0"/>
        <v>140000000</v>
      </c>
      <c r="I13">
        <v>514</v>
      </c>
      <c r="J13" s="1">
        <v>1E-4</v>
      </c>
      <c r="K13" s="1">
        <f>I13/(J13*G13)</f>
        <v>51399999.999999993</v>
      </c>
      <c r="L13" s="1">
        <f>H13+K13</f>
        <v>191400000</v>
      </c>
      <c r="M13" s="1">
        <f t="shared" si="1"/>
        <v>140000000</v>
      </c>
    </row>
    <row r="14" spans="1:13" x14ac:dyDescent="0.2">
      <c r="A14" t="s">
        <v>23</v>
      </c>
      <c r="B14">
        <v>20</v>
      </c>
      <c r="C14">
        <v>1</v>
      </c>
      <c r="D14">
        <v>0.70799999999999996</v>
      </c>
      <c r="E14">
        <v>409</v>
      </c>
      <c r="F14" s="1">
        <v>1E-4</v>
      </c>
      <c r="G14">
        <v>0.1</v>
      </c>
      <c r="H14" s="1">
        <f t="shared" si="0"/>
        <v>40900000</v>
      </c>
      <c r="I14">
        <v>41</v>
      </c>
      <c r="J14" s="1">
        <v>1E-4</v>
      </c>
      <c r="K14" s="1">
        <f>I14/(J14*G14)</f>
        <v>4099999.9999999995</v>
      </c>
      <c r="L14" s="1">
        <f>H14+K14</f>
        <v>45000000</v>
      </c>
      <c r="M14" s="1">
        <f t="shared" si="1"/>
        <v>40900000</v>
      </c>
    </row>
    <row r="15" spans="1:13" x14ac:dyDescent="0.2">
      <c r="A15" t="s">
        <v>24</v>
      </c>
      <c r="B15">
        <v>20</v>
      </c>
      <c r="C15">
        <v>2</v>
      </c>
      <c r="D15">
        <v>0.91800000000000004</v>
      </c>
      <c r="E15">
        <v>504</v>
      </c>
      <c r="F15" s="1">
        <v>1E-4</v>
      </c>
      <c r="G15">
        <v>0.1</v>
      </c>
      <c r="H15" s="1">
        <f t="shared" si="0"/>
        <v>50399999.999999993</v>
      </c>
      <c r="I15">
        <v>138</v>
      </c>
      <c r="J15" s="1">
        <v>1E-4</v>
      </c>
      <c r="K15" s="1">
        <f>I15/(J15*G15)</f>
        <v>13799999.999999998</v>
      </c>
      <c r="L15" s="1">
        <f>H15+K15</f>
        <v>64199999.999999993</v>
      </c>
      <c r="M15" s="1">
        <f t="shared" si="1"/>
        <v>50399999.999999993</v>
      </c>
    </row>
    <row r="16" spans="1:13" x14ac:dyDescent="0.2">
      <c r="A16" t="s">
        <v>25</v>
      </c>
      <c r="B16">
        <v>20</v>
      </c>
      <c r="C16">
        <v>3</v>
      </c>
      <c r="D16">
        <v>0.92500000000000004</v>
      </c>
      <c r="E16">
        <v>1366</v>
      </c>
      <c r="F16" s="1">
        <v>1E-4</v>
      </c>
      <c r="G16">
        <v>0.1</v>
      </c>
      <c r="H16" s="1">
        <f t="shared" si="0"/>
        <v>136600000</v>
      </c>
      <c r="I16">
        <v>336</v>
      </c>
      <c r="J16" s="1">
        <v>1E-4</v>
      </c>
      <c r="K16" s="1">
        <f>I16/(J16*G16)</f>
        <v>33600000</v>
      </c>
      <c r="L16" s="1">
        <f>H16+K16</f>
        <v>170200000</v>
      </c>
      <c r="M16" s="1">
        <f t="shared" si="1"/>
        <v>136600000</v>
      </c>
    </row>
    <row r="17" spans="1:13" x14ac:dyDescent="0.2">
      <c r="A17" t="s">
        <v>26</v>
      </c>
      <c r="B17">
        <v>25</v>
      </c>
      <c r="C17">
        <v>1</v>
      </c>
      <c r="D17">
        <v>1.2769999999999999</v>
      </c>
      <c r="E17">
        <v>1147</v>
      </c>
      <c r="F17" s="1">
        <v>1E-4</v>
      </c>
      <c r="G17">
        <v>0.1</v>
      </c>
      <c r="H17" s="1">
        <f t="shared" si="0"/>
        <v>114699999.99999999</v>
      </c>
      <c r="I17">
        <v>683</v>
      </c>
      <c r="J17" s="1">
        <v>1.0000000000000001E-5</v>
      </c>
      <c r="K17" s="1">
        <f>I17/(J17*G17)</f>
        <v>682999999.99999988</v>
      </c>
      <c r="L17" s="1">
        <f>H17+K17</f>
        <v>797699999.99999988</v>
      </c>
      <c r="M17" s="1">
        <f t="shared" si="1"/>
        <v>114700000</v>
      </c>
    </row>
    <row r="18" spans="1:13" x14ac:dyDescent="0.2">
      <c r="A18" t="s">
        <v>27</v>
      </c>
      <c r="B18">
        <v>25</v>
      </c>
      <c r="C18">
        <v>2</v>
      </c>
      <c r="D18">
        <v>1.3080000000000001</v>
      </c>
      <c r="E18">
        <v>503</v>
      </c>
      <c r="F18" s="1">
        <v>1E-4</v>
      </c>
      <c r="G18">
        <v>0.1</v>
      </c>
      <c r="H18" s="1">
        <f t="shared" si="0"/>
        <v>50299999.999999993</v>
      </c>
      <c r="I18">
        <v>595</v>
      </c>
      <c r="J18" s="1">
        <v>1.0000000000000001E-5</v>
      </c>
      <c r="K18" s="1">
        <f>I18/(J18*G18)</f>
        <v>594999999.99999988</v>
      </c>
      <c r="L18" s="1">
        <f>H18+K18</f>
        <v>645299999.99999988</v>
      </c>
      <c r="M18" s="1">
        <f t="shared" si="1"/>
        <v>50300000</v>
      </c>
    </row>
    <row r="19" spans="1:13" x14ac:dyDescent="0.2">
      <c r="A19" t="s">
        <v>28</v>
      </c>
      <c r="B19">
        <v>25</v>
      </c>
      <c r="C19">
        <v>3</v>
      </c>
      <c r="D19">
        <v>1.327</v>
      </c>
      <c r="E19">
        <v>1178</v>
      </c>
      <c r="F19" s="1">
        <v>1E-4</v>
      </c>
      <c r="G19">
        <v>0.1</v>
      </c>
      <c r="H19" s="1">
        <f t="shared" si="0"/>
        <v>117799999.99999999</v>
      </c>
      <c r="I19">
        <v>837</v>
      </c>
      <c r="J19" s="1">
        <v>1.0000000000000001E-5</v>
      </c>
      <c r="K19" s="1">
        <f>I19/(J19*G19)</f>
        <v>836999999.99999988</v>
      </c>
      <c r="L19" s="1">
        <f>H19+K19</f>
        <v>954799999.99999988</v>
      </c>
      <c r="M19" s="1">
        <f t="shared" si="1"/>
        <v>117800000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O'Brien, Joy Michaela</cp:lastModifiedBy>
  <dcterms:created xsi:type="dcterms:W3CDTF">2026-06-26T19:22:43Z</dcterms:created>
  <dcterms:modified xsi:type="dcterms:W3CDTF">2026-06-26T22:12:58Z</dcterms:modified>
</cp:coreProperties>
</file>