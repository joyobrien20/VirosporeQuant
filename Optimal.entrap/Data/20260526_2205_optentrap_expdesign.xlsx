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indiana.sharepoint.com/sites/msteams_9d38e5-0000_OBrien/Shared Documents/0000_OBrien/1.Projects/1.0AMutant_Entrap/Experiments/"/>
    </mc:Choice>
  </mc:AlternateContent>
  <xr:revisionPtr revIDLastSave="261" documentId="8_{B21D9864-806F-8845-9E67-D39B915718E5}" xr6:coauthVersionLast="47" xr6:coauthVersionMax="47" xr10:uidLastSave="{E6F63080-4972-4368-BF51-4EB6866AA467}"/>
  <bookViews>
    <workbookView xWindow="1620" yWindow="680" windowWidth="28040" windowHeight="17440" firstSheet="2" activeTab="2" xr2:uid="{2A33504B-E1A2-EE42-8DD7-142A1CCA4E86}"/>
  </bookViews>
  <sheets>
    <sheet name="timing" sheetId="1" r:id="rId1"/>
    <sheet name="OD_MOI" sheetId="2" r:id="rId2"/>
    <sheet name="CFU_vPF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H30" i="3"/>
  <c r="H31" i="3"/>
  <c r="H32" i="3"/>
  <c r="H33" i="3"/>
  <c r="H34" i="3"/>
  <c r="H24" i="3"/>
  <c r="H23" i="3"/>
  <c r="H25" i="3"/>
  <c r="H35" i="3"/>
  <c r="H36" i="3"/>
  <c r="H37" i="3"/>
  <c r="H26" i="3"/>
  <c r="H27" i="3"/>
  <c r="H28" i="3"/>
  <c r="H29" i="3"/>
  <c r="H11" i="3"/>
  <c r="H12" i="3"/>
  <c r="H13" i="3"/>
  <c r="H14" i="3"/>
  <c r="H15" i="3"/>
  <c r="H16" i="3"/>
  <c r="H17" i="3"/>
  <c r="H18" i="3"/>
  <c r="H19" i="3"/>
  <c r="H20" i="3"/>
  <c r="H21" i="3"/>
  <c r="H22" i="3"/>
  <c r="K3" i="3"/>
  <c r="K4" i="3"/>
  <c r="K5" i="3"/>
  <c r="K6" i="3"/>
  <c r="K7" i="3"/>
  <c r="K8" i="3"/>
  <c r="K9" i="3"/>
  <c r="K10" i="3"/>
  <c r="K2" i="3"/>
  <c r="H10" i="3"/>
  <c r="H3" i="3"/>
  <c r="H4" i="3"/>
  <c r="H5" i="3"/>
  <c r="H6" i="3"/>
  <c r="H7" i="3"/>
  <c r="H8" i="3"/>
  <c r="H9" i="3"/>
  <c r="H2" i="3"/>
</calcChain>
</file>

<file path=xl/sharedStrings.xml><?xml version="1.0" encoding="utf-8"?>
<sst xmlns="http://schemas.openxmlformats.org/spreadsheetml/2006/main" count="317" uniqueCount="87">
  <si>
    <t>Culture.id</t>
  </si>
  <si>
    <t>Target.time.h</t>
  </si>
  <si>
    <t>Planned.start</t>
  </si>
  <si>
    <t>Infection.time</t>
  </si>
  <si>
    <t>harvest.time</t>
  </si>
  <si>
    <t>Rep</t>
  </si>
  <si>
    <t>MOI</t>
  </si>
  <si>
    <t>8PM</t>
  </si>
  <si>
    <t>4AM</t>
  </si>
  <si>
    <t>6PM</t>
  </si>
  <si>
    <t>4PM</t>
  </si>
  <si>
    <t>2PM</t>
  </si>
  <si>
    <t>12PM</t>
  </si>
  <si>
    <t>10AM</t>
  </si>
  <si>
    <t>8AM</t>
  </si>
  <si>
    <t>6AM</t>
  </si>
  <si>
    <t>Timepoint</t>
  </si>
  <si>
    <t>OD600</t>
  </si>
  <si>
    <t>cells/mL</t>
  </si>
  <si>
    <t>final.vol</t>
  </si>
  <si>
    <t>phage.titer</t>
  </si>
  <si>
    <t>vol.phage</t>
  </si>
  <si>
    <t>Experiment</t>
  </si>
  <si>
    <t xml:space="preserve">really a calibration curve should be done for this experiment before this experiment </t>
  </si>
  <si>
    <t>H0_M01_R1</t>
  </si>
  <si>
    <t>Entrapment</t>
  </si>
  <si>
    <t>H0_M01_R2</t>
  </si>
  <si>
    <t>H0_M01_R3</t>
  </si>
  <si>
    <t>H0_M1_R1</t>
  </si>
  <si>
    <t>H0_M1_R2</t>
  </si>
  <si>
    <t>H0_M1_R3</t>
  </si>
  <si>
    <t>H0_M10_R1</t>
  </si>
  <si>
    <t>H0_M10_R2</t>
  </si>
  <si>
    <t>H0_M10_R3</t>
  </si>
  <si>
    <t>H0_CS_R1</t>
  </si>
  <si>
    <t>NA</t>
  </si>
  <si>
    <t>Cell_sync</t>
  </si>
  <si>
    <t>H0_CS_R2</t>
  </si>
  <si>
    <t>H0_CS_R3</t>
  </si>
  <si>
    <t>H0_CS_GFP_R1</t>
  </si>
  <si>
    <t>H0_CS_GFP_R2</t>
  </si>
  <si>
    <t>H0_CS_GFP_R3</t>
  </si>
  <si>
    <t>Sample.ID</t>
  </si>
  <si>
    <t>Time.infection.hr</t>
  </si>
  <si>
    <t>spores.Dilution</t>
  </si>
  <si>
    <t>Spores.cfu</t>
  </si>
  <si>
    <t>volume.ml</t>
  </si>
  <si>
    <t>spores.ml</t>
  </si>
  <si>
    <t>virospores.pfu</t>
  </si>
  <si>
    <t>virospores.dilution</t>
  </si>
  <si>
    <t>virospores.ml</t>
  </si>
  <si>
    <t>T0R1_1</t>
  </si>
  <si>
    <t>T0R2_1</t>
  </si>
  <si>
    <t>T0R3_1</t>
  </si>
  <si>
    <t>T2R1_1</t>
  </si>
  <si>
    <t>T2R2_1</t>
  </si>
  <si>
    <t>T2R3_1</t>
  </si>
  <si>
    <t>T4R1_1</t>
  </si>
  <si>
    <t>T4R2_1</t>
  </si>
  <si>
    <t>T4R3_1</t>
  </si>
  <si>
    <t>T10R1_0.1</t>
  </si>
  <si>
    <t>T10R2_0.1</t>
  </si>
  <si>
    <t>T10R3_0.1</t>
  </si>
  <si>
    <t>T10R1_1</t>
  </si>
  <si>
    <t>T10R2_1</t>
  </si>
  <si>
    <t>T10R3_1</t>
  </si>
  <si>
    <t>T10R1_10</t>
  </si>
  <si>
    <t>T10R2_10</t>
  </si>
  <si>
    <t>T10R3_10</t>
  </si>
  <si>
    <t>T12R1_0.1</t>
  </si>
  <si>
    <t>T12R2_0.1</t>
  </si>
  <si>
    <t>T12R3_0.1</t>
  </si>
  <si>
    <t>T12R1_1</t>
  </si>
  <si>
    <t>T12R2_1</t>
  </si>
  <si>
    <t>T12R3_1</t>
  </si>
  <si>
    <t>T12R1_10</t>
  </si>
  <si>
    <t>T12R2_10</t>
  </si>
  <si>
    <t>T12R3_10</t>
  </si>
  <si>
    <t>T14R1_0.1</t>
  </si>
  <si>
    <t>T14R2_0.1</t>
  </si>
  <si>
    <t>T14R3_0.1</t>
  </si>
  <si>
    <t>T14R1_1</t>
  </si>
  <si>
    <t>T14R2_1</t>
  </si>
  <si>
    <t>T14R3_1</t>
  </si>
  <si>
    <t>T14R1_10</t>
  </si>
  <si>
    <t>T14R2_10</t>
  </si>
  <si>
    <t>T14R3_10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</si>
</sst>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1B5E-07F3-B04F-A6A9-886100970708}">
  <dimension ref="A1:G73"/>
  <sheetViews>
    <sheetView zoomScale="150" workbookViewId="0">
      <selection activeCell="B2" sqref="B2"/>
    </sheetView>
  </sheetViews>
  <sheetFormatPr defaultColWidth="11" defaultRowHeight="15.95"/>
  <cols>
    <col min="2" max="2" width="16.375" customWidth="1"/>
    <col min="3" max="3" width="14.375" customWidth="1"/>
    <col min="4" max="4" width="15.125" customWidth="1"/>
    <col min="5" max="5" width="17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>
        <v>0</v>
      </c>
      <c r="C2" t="s">
        <v>7</v>
      </c>
      <c r="D2" t="s">
        <v>7</v>
      </c>
      <c r="E2" t="s">
        <v>8</v>
      </c>
      <c r="F2">
        <v>1</v>
      </c>
      <c r="G2">
        <v>0.1</v>
      </c>
    </row>
    <row r="3" spans="1:7">
      <c r="B3">
        <v>0</v>
      </c>
      <c r="C3" t="s">
        <v>7</v>
      </c>
      <c r="D3" t="s">
        <v>7</v>
      </c>
      <c r="E3" t="s">
        <v>8</v>
      </c>
      <c r="F3">
        <v>2</v>
      </c>
      <c r="G3">
        <v>0.1</v>
      </c>
    </row>
    <row r="4" spans="1:7">
      <c r="B4">
        <v>0</v>
      </c>
      <c r="C4" t="s">
        <v>7</v>
      </c>
      <c r="D4" t="s">
        <v>7</v>
      </c>
      <c r="E4" t="s">
        <v>8</v>
      </c>
      <c r="F4">
        <v>3</v>
      </c>
      <c r="G4">
        <v>0.1</v>
      </c>
    </row>
    <row r="5" spans="1:7">
      <c r="B5">
        <v>0</v>
      </c>
      <c r="C5" t="s">
        <v>7</v>
      </c>
      <c r="D5" t="s">
        <v>7</v>
      </c>
      <c r="E5" t="s">
        <v>8</v>
      </c>
      <c r="F5">
        <v>1</v>
      </c>
      <c r="G5">
        <v>1</v>
      </c>
    </row>
    <row r="6" spans="1:7">
      <c r="B6">
        <v>0</v>
      </c>
      <c r="C6" t="s">
        <v>7</v>
      </c>
      <c r="D6" t="s">
        <v>7</v>
      </c>
      <c r="E6" t="s">
        <v>8</v>
      </c>
      <c r="F6">
        <v>2</v>
      </c>
      <c r="G6">
        <v>1</v>
      </c>
    </row>
    <row r="7" spans="1:7">
      <c r="B7">
        <v>0</v>
      </c>
      <c r="C7" t="s">
        <v>7</v>
      </c>
      <c r="D7" t="s">
        <v>7</v>
      </c>
      <c r="E7" t="s">
        <v>8</v>
      </c>
      <c r="F7">
        <v>3</v>
      </c>
      <c r="G7">
        <v>1</v>
      </c>
    </row>
    <row r="8" spans="1:7">
      <c r="B8">
        <v>0</v>
      </c>
      <c r="C8" t="s">
        <v>7</v>
      </c>
      <c r="D8" t="s">
        <v>7</v>
      </c>
      <c r="E8" t="s">
        <v>8</v>
      </c>
      <c r="F8">
        <v>1</v>
      </c>
      <c r="G8">
        <v>10</v>
      </c>
    </row>
    <row r="9" spans="1:7">
      <c r="B9">
        <v>0</v>
      </c>
      <c r="C9" t="s">
        <v>7</v>
      </c>
      <c r="D9" t="s">
        <v>7</v>
      </c>
      <c r="E9" t="s">
        <v>8</v>
      </c>
      <c r="F9">
        <v>2</v>
      </c>
      <c r="G9">
        <v>10</v>
      </c>
    </row>
    <row r="10" spans="1:7">
      <c r="B10">
        <v>0</v>
      </c>
      <c r="C10" t="s">
        <v>7</v>
      </c>
      <c r="D10" t="s">
        <v>7</v>
      </c>
      <c r="E10" t="s">
        <v>8</v>
      </c>
      <c r="F10">
        <v>3</v>
      </c>
      <c r="G10">
        <v>10</v>
      </c>
    </row>
    <row r="11" spans="1:7">
      <c r="B11">
        <v>2</v>
      </c>
      <c r="C11" t="s">
        <v>9</v>
      </c>
      <c r="D11" t="s">
        <v>7</v>
      </c>
      <c r="E11" t="s">
        <v>8</v>
      </c>
      <c r="F11">
        <v>1</v>
      </c>
      <c r="G11">
        <v>0.1</v>
      </c>
    </row>
    <row r="12" spans="1:7">
      <c r="B12">
        <v>2</v>
      </c>
      <c r="C12" t="s">
        <v>9</v>
      </c>
      <c r="D12" t="s">
        <v>7</v>
      </c>
      <c r="E12" t="s">
        <v>8</v>
      </c>
      <c r="F12">
        <v>2</v>
      </c>
      <c r="G12">
        <v>0.1</v>
      </c>
    </row>
    <row r="13" spans="1:7">
      <c r="B13">
        <v>2</v>
      </c>
      <c r="C13" t="s">
        <v>9</v>
      </c>
      <c r="D13" t="s">
        <v>7</v>
      </c>
      <c r="E13" t="s">
        <v>8</v>
      </c>
      <c r="F13">
        <v>3</v>
      </c>
      <c r="G13">
        <v>0.1</v>
      </c>
    </row>
    <row r="14" spans="1:7">
      <c r="B14">
        <v>2</v>
      </c>
      <c r="C14" t="s">
        <v>9</v>
      </c>
      <c r="D14" t="s">
        <v>7</v>
      </c>
      <c r="E14" t="s">
        <v>8</v>
      </c>
      <c r="F14">
        <v>1</v>
      </c>
      <c r="G14">
        <v>1</v>
      </c>
    </row>
    <row r="15" spans="1:7">
      <c r="B15">
        <v>2</v>
      </c>
      <c r="C15" t="s">
        <v>9</v>
      </c>
      <c r="D15" t="s">
        <v>7</v>
      </c>
      <c r="E15" t="s">
        <v>8</v>
      </c>
      <c r="F15">
        <v>2</v>
      </c>
      <c r="G15">
        <v>1</v>
      </c>
    </row>
    <row r="16" spans="1:7">
      <c r="B16">
        <v>2</v>
      </c>
      <c r="C16" t="s">
        <v>9</v>
      </c>
      <c r="D16" t="s">
        <v>7</v>
      </c>
      <c r="E16" t="s">
        <v>8</v>
      </c>
      <c r="F16">
        <v>3</v>
      </c>
      <c r="G16">
        <v>1</v>
      </c>
    </row>
    <row r="17" spans="2:7">
      <c r="B17">
        <v>2</v>
      </c>
      <c r="C17" t="s">
        <v>9</v>
      </c>
      <c r="D17" t="s">
        <v>7</v>
      </c>
      <c r="E17" t="s">
        <v>8</v>
      </c>
      <c r="F17">
        <v>1</v>
      </c>
      <c r="G17">
        <v>10</v>
      </c>
    </row>
    <row r="18" spans="2:7">
      <c r="B18">
        <v>2</v>
      </c>
      <c r="C18" t="s">
        <v>9</v>
      </c>
      <c r="D18" t="s">
        <v>7</v>
      </c>
      <c r="E18" t="s">
        <v>8</v>
      </c>
      <c r="F18">
        <v>2</v>
      </c>
      <c r="G18">
        <v>10</v>
      </c>
    </row>
    <row r="19" spans="2:7">
      <c r="B19">
        <v>2</v>
      </c>
      <c r="C19" t="s">
        <v>9</v>
      </c>
      <c r="D19" t="s">
        <v>7</v>
      </c>
      <c r="E19" t="s">
        <v>8</v>
      </c>
      <c r="F19">
        <v>3</v>
      </c>
      <c r="G19">
        <v>10</v>
      </c>
    </row>
    <row r="20" spans="2:7">
      <c r="B20">
        <v>4</v>
      </c>
      <c r="C20" t="s">
        <v>10</v>
      </c>
      <c r="D20" t="s">
        <v>7</v>
      </c>
      <c r="E20" t="s">
        <v>8</v>
      </c>
      <c r="F20">
        <v>1</v>
      </c>
      <c r="G20">
        <v>0.1</v>
      </c>
    </row>
    <row r="21" spans="2:7">
      <c r="B21">
        <v>4</v>
      </c>
      <c r="C21" t="s">
        <v>10</v>
      </c>
      <c r="D21" t="s">
        <v>7</v>
      </c>
      <c r="E21" t="s">
        <v>8</v>
      </c>
      <c r="F21">
        <v>2</v>
      </c>
      <c r="G21">
        <v>0.1</v>
      </c>
    </row>
    <row r="22" spans="2:7">
      <c r="B22">
        <v>4</v>
      </c>
      <c r="C22" t="s">
        <v>10</v>
      </c>
      <c r="D22" t="s">
        <v>7</v>
      </c>
      <c r="E22" t="s">
        <v>8</v>
      </c>
      <c r="F22">
        <v>3</v>
      </c>
      <c r="G22">
        <v>0.1</v>
      </c>
    </row>
    <row r="23" spans="2:7">
      <c r="B23">
        <v>4</v>
      </c>
      <c r="C23" t="s">
        <v>10</v>
      </c>
      <c r="D23" t="s">
        <v>7</v>
      </c>
      <c r="E23" t="s">
        <v>8</v>
      </c>
      <c r="F23">
        <v>1</v>
      </c>
      <c r="G23">
        <v>1</v>
      </c>
    </row>
    <row r="24" spans="2:7">
      <c r="B24">
        <v>4</v>
      </c>
      <c r="C24" t="s">
        <v>10</v>
      </c>
      <c r="D24" t="s">
        <v>7</v>
      </c>
      <c r="E24" t="s">
        <v>8</v>
      </c>
      <c r="F24">
        <v>2</v>
      </c>
      <c r="G24">
        <v>1</v>
      </c>
    </row>
    <row r="25" spans="2:7">
      <c r="B25">
        <v>4</v>
      </c>
      <c r="C25" t="s">
        <v>10</v>
      </c>
      <c r="D25" t="s">
        <v>7</v>
      </c>
      <c r="E25" t="s">
        <v>8</v>
      </c>
      <c r="F25">
        <v>3</v>
      </c>
      <c r="G25">
        <v>1</v>
      </c>
    </row>
    <row r="26" spans="2:7">
      <c r="B26">
        <v>4</v>
      </c>
      <c r="C26" t="s">
        <v>10</v>
      </c>
      <c r="D26" t="s">
        <v>7</v>
      </c>
      <c r="E26" t="s">
        <v>8</v>
      </c>
      <c r="F26">
        <v>1</v>
      </c>
      <c r="G26">
        <v>10</v>
      </c>
    </row>
    <row r="27" spans="2:7">
      <c r="B27">
        <v>4</v>
      </c>
      <c r="C27" t="s">
        <v>10</v>
      </c>
      <c r="D27" t="s">
        <v>7</v>
      </c>
      <c r="E27" t="s">
        <v>8</v>
      </c>
      <c r="F27">
        <v>2</v>
      </c>
      <c r="G27">
        <v>10</v>
      </c>
    </row>
    <row r="28" spans="2:7">
      <c r="B28">
        <v>4</v>
      </c>
      <c r="C28" t="s">
        <v>10</v>
      </c>
      <c r="D28" t="s">
        <v>7</v>
      </c>
      <c r="E28" t="s">
        <v>8</v>
      </c>
      <c r="F28">
        <v>3</v>
      </c>
      <c r="G28">
        <v>10</v>
      </c>
    </row>
    <row r="29" spans="2:7">
      <c r="B29">
        <v>6</v>
      </c>
      <c r="C29" t="s">
        <v>11</v>
      </c>
      <c r="D29" t="s">
        <v>7</v>
      </c>
      <c r="E29" t="s">
        <v>8</v>
      </c>
      <c r="F29">
        <v>1</v>
      </c>
      <c r="G29">
        <v>0.1</v>
      </c>
    </row>
    <row r="30" spans="2:7">
      <c r="B30">
        <v>6</v>
      </c>
      <c r="C30" t="s">
        <v>11</v>
      </c>
      <c r="D30" t="s">
        <v>7</v>
      </c>
      <c r="E30" t="s">
        <v>8</v>
      </c>
      <c r="F30">
        <v>2</v>
      </c>
      <c r="G30">
        <v>0.1</v>
      </c>
    </row>
    <row r="31" spans="2:7">
      <c r="B31">
        <v>6</v>
      </c>
      <c r="C31" t="s">
        <v>11</v>
      </c>
      <c r="D31" t="s">
        <v>7</v>
      </c>
      <c r="E31" t="s">
        <v>8</v>
      </c>
      <c r="F31">
        <v>3</v>
      </c>
      <c r="G31">
        <v>0.1</v>
      </c>
    </row>
    <row r="32" spans="2:7">
      <c r="B32">
        <v>6</v>
      </c>
      <c r="C32" t="s">
        <v>11</v>
      </c>
      <c r="D32" t="s">
        <v>7</v>
      </c>
      <c r="E32" t="s">
        <v>8</v>
      </c>
      <c r="F32">
        <v>1</v>
      </c>
      <c r="G32">
        <v>1</v>
      </c>
    </row>
    <row r="33" spans="2:7">
      <c r="B33">
        <v>6</v>
      </c>
      <c r="C33" t="s">
        <v>11</v>
      </c>
      <c r="D33" t="s">
        <v>7</v>
      </c>
      <c r="E33" t="s">
        <v>8</v>
      </c>
      <c r="F33">
        <v>2</v>
      </c>
      <c r="G33">
        <v>1</v>
      </c>
    </row>
    <row r="34" spans="2:7">
      <c r="B34">
        <v>6</v>
      </c>
      <c r="C34" t="s">
        <v>11</v>
      </c>
      <c r="D34" t="s">
        <v>7</v>
      </c>
      <c r="E34" t="s">
        <v>8</v>
      </c>
      <c r="F34">
        <v>3</v>
      </c>
      <c r="G34">
        <v>1</v>
      </c>
    </row>
    <row r="35" spans="2:7">
      <c r="B35">
        <v>6</v>
      </c>
      <c r="C35" t="s">
        <v>11</v>
      </c>
      <c r="D35" t="s">
        <v>7</v>
      </c>
      <c r="E35" t="s">
        <v>8</v>
      </c>
      <c r="F35">
        <v>1</v>
      </c>
      <c r="G35">
        <v>10</v>
      </c>
    </row>
    <row r="36" spans="2:7">
      <c r="B36">
        <v>6</v>
      </c>
      <c r="C36" t="s">
        <v>11</v>
      </c>
      <c r="D36" t="s">
        <v>7</v>
      </c>
      <c r="E36" t="s">
        <v>8</v>
      </c>
      <c r="F36">
        <v>2</v>
      </c>
      <c r="G36">
        <v>10</v>
      </c>
    </row>
    <row r="37" spans="2:7">
      <c r="B37">
        <v>6</v>
      </c>
      <c r="C37" t="s">
        <v>11</v>
      </c>
      <c r="D37" t="s">
        <v>7</v>
      </c>
      <c r="E37" t="s">
        <v>8</v>
      </c>
      <c r="F37">
        <v>3</v>
      </c>
      <c r="G37">
        <v>10</v>
      </c>
    </row>
    <row r="38" spans="2:7">
      <c r="B38">
        <v>8</v>
      </c>
      <c r="C38" t="s">
        <v>12</v>
      </c>
      <c r="D38" t="s">
        <v>7</v>
      </c>
      <c r="E38" t="s">
        <v>8</v>
      </c>
      <c r="F38">
        <v>1</v>
      </c>
      <c r="G38">
        <v>0.1</v>
      </c>
    </row>
    <row r="39" spans="2:7">
      <c r="B39">
        <v>8</v>
      </c>
      <c r="C39" t="s">
        <v>12</v>
      </c>
      <c r="D39" t="s">
        <v>7</v>
      </c>
      <c r="E39" t="s">
        <v>8</v>
      </c>
      <c r="F39">
        <v>2</v>
      </c>
      <c r="G39">
        <v>0.1</v>
      </c>
    </row>
    <row r="40" spans="2:7">
      <c r="B40">
        <v>8</v>
      </c>
      <c r="C40" t="s">
        <v>12</v>
      </c>
      <c r="D40" t="s">
        <v>7</v>
      </c>
      <c r="E40" t="s">
        <v>8</v>
      </c>
      <c r="F40">
        <v>3</v>
      </c>
      <c r="G40">
        <v>0.1</v>
      </c>
    </row>
    <row r="41" spans="2:7">
      <c r="B41">
        <v>8</v>
      </c>
      <c r="C41" t="s">
        <v>12</v>
      </c>
      <c r="D41" t="s">
        <v>7</v>
      </c>
      <c r="E41" t="s">
        <v>8</v>
      </c>
      <c r="F41">
        <v>1</v>
      </c>
      <c r="G41">
        <v>1</v>
      </c>
    </row>
    <row r="42" spans="2:7">
      <c r="B42">
        <v>8</v>
      </c>
      <c r="C42" t="s">
        <v>12</v>
      </c>
      <c r="D42" t="s">
        <v>7</v>
      </c>
      <c r="E42" t="s">
        <v>8</v>
      </c>
      <c r="F42">
        <v>2</v>
      </c>
      <c r="G42">
        <v>1</v>
      </c>
    </row>
    <row r="43" spans="2:7">
      <c r="B43">
        <v>8</v>
      </c>
      <c r="C43" t="s">
        <v>12</v>
      </c>
      <c r="D43" t="s">
        <v>7</v>
      </c>
      <c r="E43" t="s">
        <v>8</v>
      </c>
      <c r="F43">
        <v>3</v>
      </c>
      <c r="G43">
        <v>1</v>
      </c>
    </row>
    <row r="44" spans="2:7">
      <c r="B44">
        <v>8</v>
      </c>
      <c r="C44" t="s">
        <v>12</v>
      </c>
      <c r="D44" t="s">
        <v>7</v>
      </c>
      <c r="E44" t="s">
        <v>8</v>
      </c>
      <c r="F44">
        <v>1</v>
      </c>
      <c r="G44">
        <v>10</v>
      </c>
    </row>
    <row r="45" spans="2:7">
      <c r="B45">
        <v>8</v>
      </c>
      <c r="C45" t="s">
        <v>12</v>
      </c>
      <c r="D45" t="s">
        <v>7</v>
      </c>
      <c r="E45" t="s">
        <v>8</v>
      </c>
      <c r="F45">
        <v>2</v>
      </c>
      <c r="G45">
        <v>10</v>
      </c>
    </row>
    <row r="46" spans="2:7">
      <c r="B46">
        <v>8</v>
      </c>
      <c r="C46" t="s">
        <v>12</v>
      </c>
      <c r="D46" t="s">
        <v>7</v>
      </c>
      <c r="E46" t="s">
        <v>8</v>
      </c>
      <c r="F46">
        <v>3</v>
      </c>
      <c r="G46">
        <v>10</v>
      </c>
    </row>
    <row r="47" spans="2:7">
      <c r="B47">
        <v>10</v>
      </c>
      <c r="C47" t="s">
        <v>13</v>
      </c>
      <c r="D47" t="s">
        <v>7</v>
      </c>
      <c r="E47" t="s">
        <v>8</v>
      </c>
      <c r="F47">
        <v>1</v>
      </c>
      <c r="G47">
        <v>0.1</v>
      </c>
    </row>
    <row r="48" spans="2:7">
      <c r="B48">
        <v>10</v>
      </c>
      <c r="C48" t="s">
        <v>13</v>
      </c>
      <c r="D48" t="s">
        <v>7</v>
      </c>
      <c r="E48" t="s">
        <v>8</v>
      </c>
      <c r="F48">
        <v>2</v>
      </c>
      <c r="G48">
        <v>0.1</v>
      </c>
    </row>
    <row r="49" spans="2:7">
      <c r="B49">
        <v>10</v>
      </c>
      <c r="C49" t="s">
        <v>13</v>
      </c>
      <c r="D49" t="s">
        <v>7</v>
      </c>
      <c r="E49" t="s">
        <v>8</v>
      </c>
      <c r="F49">
        <v>3</v>
      </c>
      <c r="G49">
        <v>0.1</v>
      </c>
    </row>
    <row r="50" spans="2:7">
      <c r="B50">
        <v>10</v>
      </c>
      <c r="C50" t="s">
        <v>13</v>
      </c>
      <c r="D50" t="s">
        <v>7</v>
      </c>
      <c r="E50" t="s">
        <v>8</v>
      </c>
      <c r="F50">
        <v>1</v>
      </c>
      <c r="G50">
        <v>1</v>
      </c>
    </row>
    <row r="51" spans="2:7">
      <c r="B51">
        <v>10</v>
      </c>
      <c r="C51" t="s">
        <v>13</v>
      </c>
      <c r="D51" t="s">
        <v>7</v>
      </c>
      <c r="E51" t="s">
        <v>8</v>
      </c>
      <c r="F51">
        <v>2</v>
      </c>
      <c r="G51">
        <v>1</v>
      </c>
    </row>
    <row r="52" spans="2:7">
      <c r="B52">
        <v>10</v>
      </c>
      <c r="C52" t="s">
        <v>13</v>
      </c>
      <c r="D52" t="s">
        <v>7</v>
      </c>
      <c r="E52" t="s">
        <v>8</v>
      </c>
      <c r="F52">
        <v>3</v>
      </c>
      <c r="G52">
        <v>1</v>
      </c>
    </row>
    <row r="53" spans="2:7">
      <c r="B53">
        <v>10</v>
      </c>
      <c r="C53" t="s">
        <v>13</v>
      </c>
      <c r="D53" t="s">
        <v>7</v>
      </c>
      <c r="E53" t="s">
        <v>8</v>
      </c>
      <c r="F53">
        <v>1</v>
      </c>
      <c r="G53">
        <v>10</v>
      </c>
    </row>
    <row r="54" spans="2:7">
      <c r="B54">
        <v>10</v>
      </c>
      <c r="C54" t="s">
        <v>13</v>
      </c>
      <c r="D54" t="s">
        <v>7</v>
      </c>
      <c r="E54" t="s">
        <v>8</v>
      </c>
      <c r="F54">
        <v>2</v>
      </c>
      <c r="G54">
        <v>10</v>
      </c>
    </row>
    <row r="55" spans="2:7">
      <c r="B55">
        <v>10</v>
      </c>
      <c r="C55" t="s">
        <v>13</v>
      </c>
      <c r="D55" t="s">
        <v>7</v>
      </c>
      <c r="E55" t="s">
        <v>8</v>
      </c>
      <c r="F55">
        <v>3</v>
      </c>
      <c r="G55">
        <v>10</v>
      </c>
    </row>
    <row r="56" spans="2:7">
      <c r="B56">
        <v>12</v>
      </c>
      <c r="C56" t="s">
        <v>14</v>
      </c>
      <c r="D56" t="s">
        <v>7</v>
      </c>
      <c r="E56" t="s">
        <v>8</v>
      </c>
      <c r="F56">
        <v>1</v>
      </c>
      <c r="G56">
        <v>0.1</v>
      </c>
    </row>
    <row r="57" spans="2:7">
      <c r="B57">
        <v>12</v>
      </c>
      <c r="C57" t="s">
        <v>14</v>
      </c>
      <c r="D57" t="s">
        <v>7</v>
      </c>
      <c r="E57" t="s">
        <v>8</v>
      </c>
      <c r="F57">
        <v>2</v>
      </c>
      <c r="G57">
        <v>0.1</v>
      </c>
    </row>
    <row r="58" spans="2:7">
      <c r="B58">
        <v>12</v>
      </c>
      <c r="C58" t="s">
        <v>14</v>
      </c>
      <c r="D58" t="s">
        <v>7</v>
      </c>
      <c r="E58" t="s">
        <v>8</v>
      </c>
      <c r="F58">
        <v>3</v>
      </c>
      <c r="G58">
        <v>0.1</v>
      </c>
    </row>
    <row r="59" spans="2:7">
      <c r="B59">
        <v>12</v>
      </c>
      <c r="C59" t="s">
        <v>14</v>
      </c>
      <c r="D59" t="s">
        <v>7</v>
      </c>
      <c r="E59" t="s">
        <v>8</v>
      </c>
      <c r="F59">
        <v>1</v>
      </c>
      <c r="G59">
        <v>1</v>
      </c>
    </row>
    <row r="60" spans="2:7">
      <c r="B60">
        <v>12</v>
      </c>
      <c r="C60" t="s">
        <v>14</v>
      </c>
      <c r="D60" t="s">
        <v>7</v>
      </c>
      <c r="E60" t="s">
        <v>8</v>
      </c>
      <c r="F60">
        <v>2</v>
      </c>
      <c r="G60">
        <v>1</v>
      </c>
    </row>
    <row r="61" spans="2:7">
      <c r="B61">
        <v>12</v>
      </c>
      <c r="C61" t="s">
        <v>14</v>
      </c>
      <c r="D61" t="s">
        <v>7</v>
      </c>
      <c r="E61" t="s">
        <v>8</v>
      </c>
      <c r="F61">
        <v>3</v>
      </c>
      <c r="G61">
        <v>1</v>
      </c>
    </row>
    <row r="62" spans="2:7">
      <c r="B62">
        <v>12</v>
      </c>
      <c r="C62" t="s">
        <v>14</v>
      </c>
      <c r="D62" t="s">
        <v>7</v>
      </c>
      <c r="E62" t="s">
        <v>8</v>
      </c>
      <c r="F62">
        <v>1</v>
      </c>
      <c r="G62">
        <v>10</v>
      </c>
    </row>
    <row r="63" spans="2:7">
      <c r="B63">
        <v>12</v>
      </c>
      <c r="C63" t="s">
        <v>14</v>
      </c>
      <c r="D63" t="s">
        <v>7</v>
      </c>
      <c r="E63" t="s">
        <v>8</v>
      </c>
      <c r="F63">
        <v>2</v>
      </c>
      <c r="G63">
        <v>10</v>
      </c>
    </row>
    <row r="64" spans="2:7">
      <c r="B64">
        <v>12</v>
      </c>
      <c r="C64" t="s">
        <v>14</v>
      </c>
      <c r="D64" t="s">
        <v>7</v>
      </c>
      <c r="E64" t="s">
        <v>8</v>
      </c>
      <c r="F64">
        <v>3</v>
      </c>
      <c r="G64">
        <v>10</v>
      </c>
    </row>
    <row r="65" spans="2:7">
      <c r="B65">
        <v>14</v>
      </c>
      <c r="C65" t="s">
        <v>15</v>
      </c>
      <c r="D65" t="s">
        <v>7</v>
      </c>
      <c r="E65" t="s">
        <v>8</v>
      </c>
      <c r="F65">
        <v>1</v>
      </c>
      <c r="G65">
        <v>0.1</v>
      </c>
    </row>
    <row r="66" spans="2:7">
      <c r="B66">
        <v>14</v>
      </c>
      <c r="C66" t="s">
        <v>15</v>
      </c>
      <c r="D66" t="s">
        <v>7</v>
      </c>
      <c r="E66" t="s">
        <v>8</v>
      </c>
      <c r="F66">
        <v>2</v>
      </c>
      <c r="G66">
        <v>0.1</v>
      </c>
    </row>
    <row r="67" spans="2:7">
      <c r="B67">
        <v>14</v>
      </c>
      <c r="C67" t="s">
        <v>15</v>
      </c>
      <c r="D67" t="s">
        <v>7</v>
      </c>
      <c r="E67" t="s">
        <v>8</v>
      </c>
      <c r="F67">
        <v>3</v>
      </c>
      <c r="G67">
        <v>0.1</v>
      </c>
    </row>
    <row r="68" spans="2:7">
      <c r="B68">
        <v>14</v>
      </c>
      <c r="C68" t="s">
        <v>15</v>
      </c>
      <c r="D68" t="s">
        <v>7</v>
      </c>
      <c r="E68" t="s">
        <v>8</v>
      </c>
      <c r="F68">
        <v>1</v>
      </c>
      <c r="G68">
        <v>1</v>
      </c>
    </row>
    <row r="69" spans="2:7">
      <c r="B69">
        <v>14</v>
      </c>
      <c r="C69" t="s">
        <v>15</v>
      </c>
      <c r="D69" t="s">
        <v>7</v>
      </c>
      <c r="E69" t="s">
        <v>8</v>
      </c>
      <c r="F69">
        <v>2</v>
      </c>
      <c r="G69">
        <v>1</v>
      </c>
    </row>
    <row r="70" spans="2:7">
      <c r="B70">
        <v>14</v>
      </c>
      <c r="C70" t="s">
        <v>15</v>
      </c>
      <c r="D70" t="s">
        <v>7</v>
      </c>
      <c r="E70" t="s">
        <v>8</v>
      </c>
      <c r="F70">
        <v>3</v>
      </c>
      <c r="G70">
        <v>1</v>
      </c>
    </row>
    <row r="71" spans="2:7">
      <c r="B71">
        <v>14</v>
      </c>
      <c r="C71" t="s">
        <v>15</v>
      </c>
      <c r="D71" t="s">
        <v>7</v>
      </c>
      <c r="E71" t="s">
        <v>8</v>
      </c>
      <c r="F71">
        <v>1</v>
      </c>
      <c r="G71">
        <v>10</v>
      </c>
    </row>
    <row r="72" spans="2:7">
      <c r="B72">
        <v>14</v>
      </c>
      <c r="C72" t="s">
        <v>15</v>
      </c>
      <c r="D72" t="s">
        <v>7</v>
      </c>
      <c r="E72" t="s">
        <v>8</v>
      </c>
      <c r="F72">
        <v>2</v>
      </c>
      <c r="G72">
        <v>10</v>
      </c>
    </row>
    <row r="73" spans="2:7">
      <c r="B73">
        <v>14</v>
      </c>
      <c r="C73" t="s">
        <v>15</v>
      </c>
      <c r="D73" t="s">
        <v>7</v>
      </c>
      <c r="E73" t="s">
        <v>8</v>
      </c>
      <c r="F73">
        <v>3</v>
      </c>
      <c r="G7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FDEC-26E8-3F46-9F7F-73D318B25770}">
  <dimension ref="A1:L16"/>
  <sheetViews>
    <sheetView zoomScale="176" workbookViewId="0">
      <selection activeCell="M11" sqref="M11"/>
    </sheetView>
  </sheetViews>
  <sheetFormatPr defaultColWidth="11" defaultRowHeight="15.95"/>
  <cols>
    <col min="1" max="1" width="16" customWidth="1"/>
  </cols>
  <sheetData>
    <row r="1" spans="1:12">
      <c r="A1" s="1" t="s">
        <v>0</v>
      </c>
      <c r="B1" s="1" t="s">
        <v>16</v>
      </c>
      <c r="C1" s="1" t="s">
        <v>17</v>
      </c>
      <c r="D1" s="1" t="s">
        <v>6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5</v>
      </c>
      <c r="J1" s="1" t="s">
        <v>22</v>
      </c>
      <c r="L1" s="1" t="s">
        <v>23</v>
      </c>
    </row>
    <row r="2" spans="1:12">
      <c r="A2" t="s">
        <v>24</v>
      </c>
      <c r="B2">
        <v>0</v>
      </c>
      <c r="D2">
        <v>0.1</v>
      </c>
      <c r="F2">
        <v>5</v>
      </c>
      <c r="I2">
        <v>1</v>
      </c>
      <c r="J2" t="s">
        <v>25</v>
      </c>
    </row>
    <row r="3" spans="1:12">
      <c r="A3" t="s">
        <v>26</v>
      </c>
      <c r="B3">
        <v>0</v>
      </c>
      <c r="D3">
        <v>0.1</v>
      </c>
      <c r="F3">
        <v>5</v>
      </c>
      <c r="I3">
        <v>2</v>
      </c>
      <c r="J3" t="s">
        <v>25</v>
      </c>
    </row>
    <row r="4" spans="1:12">
      <c r="A4" t="s">
        <v>27</v>
      </c>
      <c r="B4">
        <v>0</v>
      </c>
      <c r="D4">
        <v>0.1</v>
      </c>
      <c r="F4">
        <v>5</v>
      </c>
      <c r="I4">
        <v>3</v>
      </c>
      <c r="J4" t="s">
        <v>25</v>
      </c>
    </row>
    <row r="5" spans="1:12">
      <c r="A5" t="s">
        <v>28</v>
      </c>
      <c r="B5">
        <v>0</v>
      </c>
      <c r="D5">
        <v>1</v>
      </c>
      <c r="F5">
        <v>5</v>
      </c>
      <c r="I5">
        <v>1</v>
      </c>
      <c r="J5" t="s">
        <v>25</v>
      </c>
    </row>
    <row r="6" spans="1:12">
      <c r="A6" t="s">
        <v>29</v>
      </c>
      <c r="B6">
        <v>0</v>
      </c>
      <c r="D6">
        <v>1</v>
      </c>
      <c r="F6">
        <v>5</v>
      </c>
      <c r="I6">
        <v>2</v>
      </c>
      <c r="J6" t="s">
        <v>25</v>
      </c>
    </row>
    <row r="7" spans="1:12">
      <c r="A7" t="s">
        <v>30</v>
      </c>
      <c r="B7">
        <v>0</v>
      </c>
      <c r="D7">
        <v>1</v>
      </c>
      <c r="F7">
        <v>5</v>
      </c>
      <c r="I7">
        <v>3</v>
      </c>
      <c r="J7" t="s">
        <v>25</v>
      </c>
    </row>
    <row r="8" spans="1:12">
      <c r="A8" t="s">
        <v>31</v>
      </c>
      <c r="B8">
        <v>0</v>
      </c>
      <c r="D8">
        <v>10</v>
      </c>
      <c r="F8">
        <v>5</v>
      </c>
      <c r="I8">
        <v>1</v>
      </c>
      <c r="J8" t="s">
        <v>25</v>
      </c>
    </row>
    <row r="9" spans="1:12">
      <c r="A9" t="s">
        <v>32</v>
      </c>
      <c r="B9">
        <v>0</v>
      </c>
      <c r="D9">
        <v>10</v>
      </c>
      <c r="F9">
        <v>5</v>
      </c>
      <c r="I9">
        <v>2</v>
      </c>
      <c r="J9" t="s">
        <v>25</v>
      </c>
    </row>
    <row r="10" spans="1:12">
      <c r="A10" t="s">
        <v>33</v>
      </c>
      <c r="B10">
        <v>0</v>
      </c>
      <c r="D10">
        <v>10</v>
      </c>
      <c r="F10">
        <v>5</v>
      </c>
      <c r="I10">
        <v>3</v>
      </c>
      <c r="J10" t="s">
        <v>25</v>
      </c>
    </row>
    <row r="11" spans="1:12">
      <c r="A11" t="s">
        <v>34</v>
      </c>
      <c r="B11">
        <v>0</v>
      </c>
      <c r="D11" t="s">
        <v>35</v>
      </c>
      <c r="F11">
        <v>5</v>
      </c>
      <c r="I11">
        <v>1</v>
      </c>
      <c r="J11" t="s">
        <v>36</v>
      </c>
    </row>
    <row r="12" spans="1:12">
      <c r="A12" t="s">
        <v>37</v>
      </c>
      <c r="B12">
        <v>0</v>
      </c>
      <c r="D12" t="s">
        <v>35</v>
      </c>
      <c r="F12">
        <v>5</v>
      </c>
      <c r="I12">
        <v>2</v>
      </c>
      <c r="J12" t="s">
        <v>36</v>
      </c>
    </row>
    <row r="13" spans="1:12">
      <c r="A13" t="s">
        <v>38</v>
      </c>
      <c r="B13">
        <v>0</v>
      </c>
      <c r="D13" t="s">
        <v>35</v>
      </c>
      <c r="F13">
        <v>5</v>
      </c>
      <c r="I13">
        <v>3</v>
      </c>
      <c r="J13" t="s">
        <v>36</v>
      </c>
    </row>
    <row r="14" spans="1:12">
      <c r="A14" t="s">
        <v>39</v>
      </c>
      <c r="B14">
        <v>0</v>
      </c>
      <c r="D14" t="s">
        <v>35</v>
      </c>
      <c r="F14">
        <v>5</v>
      </c>
      <c r="I14">
        <v>1</v>
      </c>
      <c r="J14" t="s">
        <v>36</v>
      </c>
    </row>
    <row r="15" spans="1:12">
      <c r="A15" t="s">
        <v>40</v>
      </c>
      <c r="B15">
        <v>0</v>
      </c>
      <c r="D15" t="s">
        <v>35</v>
      </c>
      <c r="F15">
        <v>5</v>
      </c>
      <c r="I15">
        <v>2</v>
      </c>
      <c r="J15" t="s">
        <v>36</v>
      </c>
    </row>
    <row r="16" spans="1:12">
      <c r="A16" t="s">
        <v>41</v>
      </c>
      <c r="B16">
        <v>0</v>
      </c>
      <c r="D16" t="s">
        <v>35</v>
      </c>
      <c r="F16">
        <v>5</v>
      </c>
      <c r="I16">
        <v>3</v>
      </c>
      <c r="J16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0997-2AAE-FC40-B22F-74658D255F8F}">
  <dimension ref="A1:K37"/>
  <sheetViews>
    <sheetView tabSelected="1" topLeftCell="A26" workbookViewId="0">
      <selection sqref="A1:K37"/>
    </sheetView>
  </sheetViews>
  <sheetFormatPr defaultColWidth="11" defaultRowHeight="15.95"/>
  <cols>
    <col min="2" max="2" width="21.5" customWidth="1"/>
    <col min="5" max="5" width="25.625" customWidth="1"/>
    <col min="9" max="11" width="21.5" customWidth="1"/>
  </cols>
  <sheetData>
    <row r="1" spans="1:11">
      <c r="A1" t="s">
        <v>42</v>
      </c>
      <c r="B1" t="s">
        <v>43</v>
      </c>
      <c r="C1" t="s">
        <v>5</v>
      </c>
      <c r="D1" t="s">
        <v>6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>
      <c r="A2" t="s">
        <v>51</v>
      </c>
      <c r="B2">
        <v>0</v>
      </c>
      <c r="C2">
        <v>1</v>
      </c>
      <c r="D2">
        <v>1</v>
      </c>
      <c r="E2" s="2">
        <v>0.01</v>
      </c>
      <c r="F2">
        <v>47</v>
      </c>
      <c r="G2">
        <v>0.1</v>
      </c>
      <c r="H2" s="2">
        <f>F2/(E2*G2)</f>
        <v>47000</v>
      </c>
      <c r="I2">
        <v>457</v>
      </c>
      <c r="J2" s="2">
        <v>0.1</v>
      </c>
      <c r="K2" s="2">
        <f>I2/(J2*G2)</f>
        <v>45699.999999999993</v>
      </c>
    </row>
    <row r="3" spans="1:11">
      <c r="A3" t="s">
        <v>52</v>
      </c>
      <c r="B3">
        <v>0</v>
      </c>
      <c r="C3">
        <v>2</v>
      </c>
      <c r="D3">
        <v>1</v>
      </c>
      <c r="E3" s="2">
        <v>0.01</v>
      </c>
      <c r="F3">
        <v>31</v>
      </c>
      <c r="G3">
        <v>0.1</v>
      </c>
      <c r="H3" s="2">
        <f t="shared" ref="H3:H37" si="0">F3/(E3*G3)</f>
        <v>31000</v>
      </c>
      <c r="I3">
        <v>120</v>
      </c>
      <c r="J3" s="2">
        <v>0.1</v>
      </c>
      <c r="K3" s="2">
        <f t="shared" ref="K3:K28" si="1">I3/(J3*G3)</f>
        <v>11999.999999999998</v>
      </c>
    </row>
    <row r="4" spans="1:11">
      <c r="A4" t="s">
        <v>53</v>
      </c>
      <c r="B4">
        <v>0</v>
      </c>
      <c r="C4">
        <v>3</v>
      </c>
      <c r="D4">
        <v>1</v>
      </c>
      <c r="E4" s="2">
        <v>0.01</v>
      </c>
      <c r="F4">
        <v>80</v>
      </c>
      <c r="G4">
        <v>0.1</v>
      </c>
      <c r="H4" s="2">
        <f t="shared" si="0"/>
        <v>80000</v>
      </c>
      <c r="I4">
        <v>61</v>
      </c>
      <c r="J4" s="2">
        <v>0.1</v>
      </c>
      <c r="K4" s="2">
        <f t="shared" si="1"/>
        <v>6099.9999999999991</v>
      </c>
    </row>
    <row r="5" spans="1:11">
      <c r="A5" t="s">
        <v>54</v>
      </c>
      <c r="B5">
        <v>2</v>
      </c>
      <c r="C5">
        <v>1</v>
      </c>
      <c r="D5">
        <v>1</v>
      </c>
      <c r="E5">
        <v>1</v>
      </c>
      <c r="F5">
        <v>228</v>
      </c>
      <c r="G5">
        <v>0.1</v>
      </c>
      <c r="H5" s="2">
        <f t="shared" si="0"/>
        <v>2280</v>
      </c>
      <c r="I5">
        <v>444</v>
      </c>
      <c r="J5" s="2">
        <v>0.1</v>
      </c>
      <c r="K5" s="2">
        <f t="shared" si="1"/>
        <v>44399.999999999993</v>
      </c>
    </row>
    <row r="6" spans="1:11">
      <c r="A6" t="s">
        <v>55</v>
      </c>
      <c r="B6">
        <v>2</v>
      </c>
      <c r="C6">
        <v>2</v>
      </c>
      <c r="D6">
        <v>1</v>
      </c>
      <c r="E6">
        <v>1</v>
      </c>
      <c r="F6">
        <v>75</v>
      </c>
      <c r="G6">
        <v>0.1</v>
      </c>
      <c r="H6" s="2">
        <f t="shared" si="0"/>
        <v>750</v>
      </c>
      <c r="I6">
        <v>15</v>
      </c>
      <c r="J6" s="2">
        <v>1E-3</v>
      </c>
      <c r="K6" s="2">
        <f t="shared" si="1"/>
        <v>150000</v>
      </c>
    </row>
    <row r="7" spans="1:11">
      <c r="A7" t="s">
        <v>56</v>
      </c>
      <c r="B7">
        <v>2</v>
      </c>
      <c r="C7">
        <v>3</v>
      </c>
      <c r="D7">
        <v>1</v>
      </c>
      <c r="E7">
        <v>1</v>
      </c>
      <c r="F7">
        <v>138</v>
      </c>
      <c r="G7">
        <v>0.1</v>
      </c>
      <c r="H7" s="2">
        <f t="shared" si="0"/>
        <v>1380</v>
      </c>
      <c r="I7">
        <v>516</v>
      </c>
      <c r="J7" s="2">
        <v>0.1</v>
      </c>
      <c r="K7" s="2">
        <f t="shared" si="1"/>
        <v>51599.999999999993</v>
      </c>
    </row>
    <row r="8" spans="1:11">
      <c r="A8" t="s">
        <v>57</v>
      </c>
      <c r="B8">
        <v>4</v>
      </c>
      <c r="C8">
        <v>1</v>
      </c>
      <c r="D8">
        <v>1</v>
      </c>
      <c r="E8">
        <v>1</v>
      </c>
      <c r="F8">
        <v>21</v>
      </c>
      <c r="G8">
        <v>0.1</v>
      </c>
      <c r="H8" s="2">
        <f t="shared" si="0"/>
        <v>210</v>
      </c>
      <c r="I8">
        <v>9</v>
      </c>
      <c r="J8" s="2">
        <v>1E-3</v>
      </c>
      <c r="K8" s="2">
        <f t="shared" si="1"/>
        <v>90000</v>
      </c>
    </row>
    <row r="9" spans="1:11">
      <c r="A9" t="s">
        <v>58</v>
      </c>
      <c r="B9">
        <v>4</v>
      </c>
      <c r="C9">
        <v>2</v>
      </c>
      <c r="D9">
        <v>1</v>
      </c>
      <c r="E9">
        <v>1</v>
      </c>
      <c r="F9">
        <v>12</v>
      </c>
      <c r="G9">
        <v>0.1</v>
      </c>
      <c r="H9" s="2">
        <f t="shared" si="0"/>
        <v>120</v>
      </c>
      <c r="I9">
        <v>516</v>
      </c>
      <c r="J9" s="2">
        <v>1E-3</v>
      </c>
      <c r="K9" s="2">
        <f t="shared" si="1"/>
        <v>5160000</v>
      </c>
    </row>
    <row r="10" spans="1:11">
      <c r="A10" t="s">
        <v>59</v>
      </c>
      <c r="B10">
        <v>4</v>
      </c>
      <c r="C10">
        <v>3</v>
      </c>
      <c r="D10">
        <v>1</v>
      </c>
      <c r="E10">
        <v>1</v>
      </c>
      <c r="F10">
        <v>4</v>
      </c>
      <c r="G10">
        <v>0.1</v>
      </c>
      <c r="H10" s="2">
        <f t="shared" si="0"/>
        <v>40</v>
      </c>
      <c r="I10">
        <v>137</v>
      </c>
      <c r="J10" s="2">
        <v>1E-3</v>
      </c>
      <c r="K10" s="2">
        <f t="shared" si="1"/>
        <v>1370000</v>
      </c>
    </row>
    <row r="11" spans="1:11">
      <c r="A11" t="s">
        <v>60</v>
      </c>
      <c r="B11">
        <v>10</v>
      </c>
      <c r="C11">
        <v>1</v>
      </c>
      <c r="D11">
        <v>0.1</v>
      </c>
      <c r="E11" s="2">
        <v>0.1</v>
      </c>
      <c r="F11">
        <v>142</v>
      </c>
      <c r="G11">
        <v>0.1</v>
      </c>
      <c r="H11" s="2">
        <f t="shared" si="0"/>
        <v>14199.999999999996</v>
      </c>
      <c r="I11">
        <v>20</v>
      </c>
      <c r="J11" s="2">
        <v>9.9999999999999995E-7</v>
      </c>
      <c r="K11" s="2">
        <f t="shared" si="1"/>
        <v>200000000</v>
      </c>
    </row>
    <row r="12" spans="1:11">
      <c r="A12" t="s">
        <v>61</v>
      </c>
      <c r="B12">
        <v>10</v>
      </c>
      <c r="C12">
        <v>2</v>
      </c>
      <c r="D12">
        <v>0.1</v>
      </c>
      <c r="E12" s="2">
        <v>1E-3</v>
      </c>
      <c r="F12">
        <v>170</v>
      </c>
      <c r="G12">
        <v>0.1</v>
      </c>
      <c r="H12" s="2">
        <f t="shared" si="0"/>
        <v>1700000</v>
      </c>
      <c r="I12">
        <v>14</v>
      </c>
      <c r="J12" s="2">
        <v>9.9999999999999995E-7</v>
      </c>
      <c r="K12" s="2">
        <f t="shared" si="1"/>
        <v>140000000</v>
      </c>
    </row>
    <row r="13" spans="1:11">
      <c r="A13" t="s">
        <v>62</v>
      </c>
      <c r="B13">
        <v>10</v>
      </c>
      <c r="C13">
        <v>3</v>
      </c>
      <c r="D13">
        <v>0.1</v>
      </c>
      <c r="E13" s="2">
        <v>0.1</v>
      </c>
      <c r="F13">
        <v>249</v>
      </c>
      <c r="G13">
        <v>0.1</v>
      </c>
      <c r="H13" s="2">
        <f t="shared" si="0"/>
        <v>24899.999999999996</v>
      </c>
      <c r="I13">
        <v>418</v>
      </c>
      <c r="J13" s="2">
        <v>1E-4</v>
      </c>
      <c r="K13" s="2">
        <f t="shared" si="1"/>
        <v>41800000</v>
      </c>
    </row>
    <row r="14" spans="1:11">
      <c r="A14" t="s">
        <v>63</v>
      </c>
      <c r="B14">
        <v>10</v>
      </c>
      <c r="C14">
        <v>1</v>
      </c>
      <c r="D14">
        <v>1</v>
      </c>
      <c r="E14" s="2">
        <v>1E-3</v>
      </c>
      <c r="F14">
        <v>150</v>
      </c>
      <c r="G14">
        <v>0.1</v>
      </c>
      <c r="H14" s="2">
        <f t="shared" si="0"/>
        <v>1500000</v>
      </c>
      <c r="I14">
        <v>973</v>
      </c>
      <c r="J14" s="2">
        <v>1E-4</v>
      </c>
      <c r="K14" s="2">
        <f t="shared" si="1"/>
        <v>97299999.999999985</v>
      </c>
    </row>
    <row r="15" spans="1:11">
      <c r="A15" t="s">
        <v>64</v>
      </c>
      <c r="B15">
        <v>10</v>
      </c>
      <c r="C15">
        <v>2</v>
      </c>
      <c r="D15">
        <v>1</v>
      </c>
      <c r="E15" s="2">
        <v>0.1</v>
      </c>
      <c r="F15">
        <v>150</v>
      </c>
      <c r="G15">
        <v>0.1</v>
      </c>
      <c r="H15" s="2">
        <f t="shared" si="0"/>
        <v>14999.999999999996</v>
      </c>
      <c r="I15">
        <v>0</v>
      </c>
      <c r="J15" s="2">
        <v>1E-4</v>
      </c>
      <c r="K15" s="2">
        <f t="shared" si="1"/>
        <v>0</v>
      </c>
    </row>
    <row r="16" spans="1:11">
      <c r="A16" t="s">
        <v>65</v>
      </c>
      <c r="B16">
        <v>10</v>
      </c>
      <c r="C16">
        <v>3</v>
      </c>
      <c r="D16">
        <v>1</v>
      </c>
      <c r="E16" s="2">
        <v>0.1</v>
      </c>
      <c r="F16">
        <v>153</v>
      </c>
      <c r="G16">
        <v>0.1</v>
      </c>
      <c r="H16" s="2">
        <f t="shared" si="0"/>
        <v>15299.999999999996</v>
      </c>
      <c r="I16">
        <v>16</v>
      </c>
      <c r="J16" s="2">
        <v>9.9999999999999995E-7</v>
      </c>
      <c r="K16" s="2">
        <f t="shared" si="1"/>
        <v>160000000</v>
      </c>
    </row>
    <row r="17" spans="1:11">
      <c r="A17" t="s">
        <v>66</v>
      </c>
      <c r="B17">
        <v>10</v>
      </c>
      <c r="C17">
        <v>1</v>
      </c>
      <c r="D17">
        <v>10</v>
      </c>
      <c r="E17" s="2">
        <v>0.1</v>
      </c>
      <c r="F17">
        <v>440</v>
      </c>
      <c r="G17">
        <v>0.1</v>
      </c>
      <c r="H17" s="2">
        <f t="shared" si="0"/>
        <v>43999.999999999993</v>
      </c>
      <c r="I17">
        <v>24</v>
      </c>
      <c r="J17" s="2">
        <v>9.9999999999999995E-7</v>
      </c>
      <c r="K17" s="2">
        <f t="shared" si="1"/>
        <v>240000000</v>
      </c>
    </row>
    <row r="18" spans="1:11">
      <c r="A18" t="s">
        <v>67</v>
      </c>
      <c r="B18">
        <v>10</v>
      </c>
      <c r="C18">
        <v>2</v>
      </c>
      <c r="D18">
        <v>10</v>
      </c>
      <c r="E18" s="2">
        <v>1E-3</v>
      </c>
      <c r="F18">
        <v>224</v>
      </c>
      <c r="G18">
        <v>0.1</v>
      </c>
      <c r="H18" s="2">
        <f t="shared" si="0"/>
        <v>2240000</v>
      </c>
      <c r="I18">
        <v>27</v>
      </c>
      <c r="J18" s="2">
        <v>9.9999999999999995E-7</v>
      </c>
      <c r="K18" s="2">
        <f t="shared" si="1"/>
        <v>270000000</v>
      </c>
    </row>
    <row r="19" spans="1:11">
      <c r="A19" t="s">
        <v>68</v>
      </c>
      <c r="B19">
        <v>10</v>
      </c>
      <c r="C19">
        <v>3</v>
      </c>
      <c r="D19">
        <v>10</v>
      </c>
      <c r="E19" s="2">
        <v>1E-3</v>
      </c>
      <c r="F19">
        <v>200</v>
      </c>
      <c r="G19">
        <v>0.1</v>
      </c>
      <c r="H19" s="2">
        <f t="shared" si="0"/>
        <v>2000000</v>
      </c>
      <c r="I19">
        <v>0</v>
      </c>
      <c r="J19" s="2">
        <v>9.9999999999999995E-7</v>
      </c>
      <c r="K19" s="2">
        <f t="shared" si="1"/>
        <v>0</v>
      </c>
    </row>
    <row r="20" spans="1:11">
      <c r="A20" t="s">
        <v>69</v>
      </c>
      <c r="B20">
        <v>12</v>
      </c>
      <c r="C20">
        <v>1</v>
      </c>
      <c r="D20">
        <v>0.1</v>
      </c>
      <c r="E20" s="2">
        <v>1E-3</v>
      </c>
      <c r="F20">
        <v>1301</v>
      </c>
      <c r="G20">
        <v>0.1</v>
      </c>
      <c r="H20" s="2">
        <f t="shared" si="0"/>
        <v>13010000</v>
      </c>
      <c r="I20">
        <v>108</v>
      </c>
      <c r="J20" s="2">
        <v>1E-4</v>
      </c>
      <c r="K20" s="2">
        <f t="shared" si="1"/>
        <v>10800000</v>
      </c>
    </row>
    <row r="21" spans="1:11">
      <c r="A21" t="s">
        <v>70</v>
      </c>
      <c r="B21">
        <v>12</v>
      </c>
      <c r="C21">
        <v>2</v>
      </c>
      <c r="D21">
        <v>0.1</v>
      </c>
      <c r="E21" s="2">
        <v>1E-3</v>
      </c>
      <c r="F21">
        <v>1058</v>
      </c>
      <c r="G21">
        <v>0.1</v>
      </c>
      <c r="H21" s="2">
        <f t="shared" si="0"/>
        <v>10580000</v>
      </c>
      <c r="I21">
        <v>151</v>
      </c>
      <c r="J21" s="2">
        <v>1E-4</v>
      </c>
      <c r="K21" s="2">
        <f t="shared" si="1"/>
        <v>15099999.999999998</v>
      </c>
    </row>
    <row r="22" spans="1:11">
      <c r="A22" t="s">
        <v>71</v>
      </c>
      <c r="B22">
        <v>12</v>
      </c>
      <c r="C22">
        <v>3</v>
      </c>
      <c r="D22">
        <v>0.1</v>
      </c>
      <c r="E22" s="2">
        <v>1E-3</v>
      </c>
      <c r="F22">
        <v>2312</v>
      </c>
      <c r="G22">
        <v>0.1</v>
      </c>
      <c r="H22" s="2">
        <f t="shared" si="0"/>
        <v>23120000</v>
      </c>
      <c r="I22">
        <v>161</v>
      </c>
      <c r="J22" s="2">
        <v>1E-4</v>
      </c>
      <c r="K22" s="2">
        <f t="shared" si="1"/>
        <v>16099999.999999998</v>
      </c>
    </row>
    <row r="23" spans="1:11">
      <c r="A23" t="s">
        <v>72</v>
      </c>
      <c r="B23">
        <v>12</v>
      </c>
      <c r="C23">
        <v>1</v>
      </c>
      <c r="D23">
        <v>1</v>
      </c>
      <c r="E23" s="2">
        <v>1E-3</v>
      </c>
      <c r="F23">
        <v>924</v>
      </c>
      <c r="G23">
        <v>0.1</v>
      </c>
      <c r="H23" s="2">
        <f t="shared" si="0"/>
        <v>9240000</v>
      </c>
      <c r="I23">
        <v>429</v>
      </c>
      <c r="J23" s="2">
        <v>1E-4</v>
      </c>
      <c r="K23" s="2">
        <f t="shared" si="1"/>
        <v>42900000</v>
      </c>
    </row>
    <row r="24" spans="1:11">
      <c r="A24" t="s">
        <v>73</v>
      </c>
      <c r="B24">
        <v>12</v>
      </c>
      <c r="C24">
        <v>2</v>
      </c>
      <c r="D24">
        <v>1</v>
      </c>
      <c r="E24" s="2">
        <v>9.9999999999999995E-7</v>
      </c>
      <c r="F24">
        <v>6</v>
      </c>
      <c r="G24">
        <v>0.1</v>
      </c>
      <c r="H24" s="2">
        <f>F24/(E24*G24)</f>
        <v>60000000</v>
      </c>
      <c r="I24">
        <v>183</v>
      </c>
      <c r="J24" s="2">
        <v>1E-4</v>
      </c>
      <c r="K24" s="2">
        <f t="shared" si="1"/>
        <v>18300000</v>
      </c>
    </row>
    <row r="25" spans="1:11">
      <c r="A25" t="s">
        <v>74</v>
      </c>
      <c r="B25">
        <v>12</v>
      </c>
      <c r="C25">
        <v>3</v>
      </c>
      <c r="D25">
        <v>1</v>
      </c>
      <c r="E25" s="2">
        <v>1E-3</v>
      </c>
      <c r="F25">
        <v>514</v>
      </c>
      <c r="G25">
        <v>0.1</v>
      </c>
      <c r="H25" s="2">
        <f t="shared" si="0"/>
        <v>5140000</v>
      </c>
      <c r="I25">
        <v>174</v>
      </c>
      <c r="J25" s="2">
        <v>1E-4</v>
      </c>
      <c r="K25" s="2">
        <f t="shared" si="1"/>
        <v>17400000</v>
      </c>
    </row>
    <row r="26" spans="1:11">
      <c r="A26" t="s">
        <v>75</v>
      </c>
      <c r="B26">
        <v>12</v>
      </c>
      <c r="C26">
        <v>1</v>
      </c>
      <c r="D26">
        <v>10</v>
      </c>
      <c r="E26" s="2">
        <v>1E-3</v>
      </c>
      <c r="F26">
        <v>200</v>
      </c>
      <c r="G26">
        <v>0.1</v>
      </c>
      <c r="H26" s="2">
        <f t="shared" si="0"/>
        <v>2000000</v>
      </c>
      <c r="I26">
        <v>44</v>
      </c>
      <c r="J26" s="2">
        <v>1E-4</v>
      </c>
      <c r="K26" s="2">
        <f t="shared" si="1"/>
        <v>4400000</v>
      </c>
    </row>
    <row r="27" spans="1:11">
      <c r="A27" t="s">
        <v>76</v>
      </c>
      <c r="B27">
        <v>12</v>
      </c>
      <c r="C27">
        <v>2</v>
      </c>
      <c r="D27">
        <v>10</v>
      </c>
      <c r="E27" s="2">
        <v>1E-3</v>
      </c>
      <c r="F27">
        <v>122</v>
      </c>
      <c r="G27">
        <v>0.1</v>
      </c>
      <c r="H27" s="2">
        <f t="shared" si="0"/>
        <v>1220000</v>
      </c>
      <c r="I27">
        <v>80</v>
      </c>
      <c r="J27" s="2">
        <v>1E-4</v>
      </c>
      <c r="K27" s="2">
        <f t="shared" si="1"/>
        <v>7999999.9999999991</v>
      </c>
    </row>
    <row r="28" spans="1:11">
      <c r="A28" t="s">
        <v>77</v>
      </c>
      <c r="B28">
        <v>12</v>
      </c>
      <c r="C28">
        <v>3</v>
      </c>
      <c r="D28">
        <v>10</v>
      </c>
      <c r="E28" s="2">
        <v>1E-3</v>
      </c>
      <c r="F28">
        <v>372</v>
      </c>
      <c r="G28">
        <v>0.1</v>
      </c>
      <c r="H28" s="2">
        <f t="shared" si="0"/>
        <v>3720000</v>
      </c>
      <c r="I28">
        <v>430</v>
      </c>
      <c r="J28" s="2">
        <v>1E-4</v>
      </c>
      <c r="K28" s="2">
        <f t="shared" si="1"/>
        <v>43000000</v>
      </c>
    </row>
    <row r="29" spans="1:11">
      <c r="A29" t="s">
        <v>78</v>
      </c>
      <c r="B29">
        <v>14</v>
      </c>
      <c r="C29">
        <v>1</v>
      </c>
      <c r="D29">
        <v>0.1</v>
      </c>
      <c r="E29" s="2">
        <v>1E-3</v>
      </c>
      <c r="F29">
        <v>1105</v>
      </c>
      <c r="G29">
        <v>0.1</v>
      </c>
      <c r="H29" s="2">
        <f t="shared" si="0"/>
        <v>11050000</v>
      </c>
    </row>
    <row r="30" spans="1:11">
      <c r="A30" t="s">
        <v>79</v>
      </c>
      <c r="B30">
        <v>14</v>
      </c>
      <c r="C30">
        <v>2</v>
      </c>
      <c r="D30">
        <v>0.1</v>
      </c>
      <c r="E30" s="2">
        <v>1E-4</v>
      </c>
      <c r="F30">
        <v>308</v>
      </c>
      <c r="G30">
        <v>0.1</v>
      </c>
      <c r="H30" s="2">
        <f t="shared" si="0"/>
        <v>30799999.999999996</v>
      </c>
    </row>
    <row r="31" spans="1:11">
      <c r="A31" t="s">
        <v>80</v>
      </c>
      <c r="B31">
        <v>14</v>
      </c>
      <c r="C31">
        <v>3</v>
      </c>
      <c r="D31">
        <v>0.1</v>
      </c>
      <c r="E31" s="2">
        <v>1E-4</v>
      </c>
      <c r="F31">
        <v>740</v>
      </c>
      <c r="G31">
        <v>0.1</v>
      </c>
      <c r="H31" s="2">
        <f t="shared" si="0"/>
        <v>74000000</v>
      </c>
    </row>
    <row r="32" spans="1:11">
      <c r="A32" t="s">
        <v>81</v>
      </c>
      <c r="B32">
        <v>14</v>
      </c>
      <c r="C32">
        <v>1</v>
      </c>
      <c r="D32">
        <v>1</v>
      </c>
      <c r="E32" s="2">
        <v>1E-4</v>
      </c>
      <c r="F32">
        <v>298</v>
      </c>
      <c r="G32">
        <v>0.1</v>
      </c>
      <c r="H32" s="2">
        <f t="shared" si="0"/>
        <v>29799999.999999996</v>
      </c>
    </row>
    <row r="33" spans="1:8">
      <c r="A33" t="s">
        <v>82</v>
      </c>
      <c r="B33">
        <v>14</v>
      </c>
      <c r="C33">
        <v>2</v>
      </c>
      <c r="D33">
        <v>1</v>
      </c>
      <c r="E33" s="2">
        <v>1E-4</v>
      </c>
      <c r="F33">
        <v>286</v>
      </c>
      <c r="G33">
        <v>0.1</v>
      </c>
      <c r="H33" s="2">
        <f t="shared" si="0"/>
        <v>28599999.999999996</v>
      </c>
    </row>
    <row r="34" spans="1:8">
      <c r="A34" t="s">
        <v>83</v>
      </c>
      <c r="B34">
        <v>14</v>
      </c>
      <c r="C34">
        <v>3</v>
      </c>
      <c r="D34">
        <v>1</v>
      </c>
      <c r="E34" s="2">
        <v>1E-4</v>
      </c>
      <c r="F34">
        <v>385</v>
      </c>
      <c r="G34">
        <v>0.1</v>
      </c>
      <c r="H34" s="2">
        <f t="shared" si="0"/>
        <v>38500000</v>
      </c>
    </row>
    <row r="35" spans="1:8">
      <c r="A35" t="s">
        <v>84</v>
      </c>
      <c r="B35">
        <v>14</v>
      </c>
      <c r="C35">
        <v>1</v>
      </c>
      <c r="D35">
        <v>10</v>
      </c>
      <c r="E35" s="2">
        <v>1E-3</v>
      </c>
      <c r="F35">
        <v>607</v>
      </c>
      <c r="G35">
        <v>0.1</v>
      </c>
      <c r="H35" s="2">
        <f t="shared" si="0"/>
        <v>6070000</v>
      </c>
    </row>
    <row r="36" spans="1:8">
      <c r="A36" t="s">
        <v>85</v>
      </c>
      <c r="B36">
        <v>14</v>
      </c>
      <c r="C36">
        <v>2</v>
      </c>
      <c r="D36">
        <v>10</v>
      </c>
      <c r="E36" s="2">
        <v>1E-3</v>
      </c>
      <c r="F36">
        <v>1040</v>
      </c>
      <c r="G36">
        <v>0.1</v>
      </c>
      <c r="H36" s="2">
        <f t="shared" si="0"/>
        <v>10400000</v>
      </c>
    </row>
    <row r="37" spans="1:8">
      <c r="A37" t="s">
        <v>86</v>
      </c>
      <c r="B37">
        <v>14</v>
      </c>
      <c r="C37">
        <v>3</v>
      </c>
      <c r="D37">
        <v>10</v>
      </c>
      <c r="E37" s="2">
        <v>1E-3</v>
      </c>
      <c r="F37">
        <v>1028</v>
      </c>
      <c r="G37">
        <v>0.1</v>
      </c>
      <c r="H37" s="2">
        <f t="shared" si="0"/>
        <v>10280000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AC954F-4899-40F2-B5DC-A9F4CCF7540C}"/>
</file>

<file path=customXml/itemProps2.xml><?xml version="1.0" encoding="utf-8"?>
<ds:datastoreItem xmlns:ds="http://schemas.openxmlformats.org/officeDocument/2006/customXml" ds:itemID="{29B7AFCA-C425-4FE1-9FD7-DF1066EF011E}"/>
</file>

<file path=customXml/itemProps3.xml><?xml version="1.0" encoding="utf-8"?>
<ds:datastoreItem xmlns:ds="http://schemas.openxmlformats.org/officeDocument/2006/customXml" ds:itemID="{CFE30FD1-B8CE-47C2-A0A6-1C28E0C72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 O'Brien</dc:creator>
  <cp:keywords/>
  <dc:description/>
  <cp:lastModifiedBy>O'Brien, Joy Michaela</cp:lastModifiedBy>
  <cp:revision/>
  <dcterms:created xsi:type="dcterms:W3CDTF">2026-04-06T02:39:49Z</dcterms:created>
  <dcterms:modified xsi:type="dcterms:W3CDTF">2026-05-29T04:43:06Z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