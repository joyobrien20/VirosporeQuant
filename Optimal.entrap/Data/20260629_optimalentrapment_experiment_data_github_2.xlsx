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13_ncr:1_{F8776BA2-4639-724C-87FA-ADE79C3125A5}" xr6:coauthVersionLast="47" xr6:coauthVersionMax="47" xr10:uidLastSave="{00000000-0000-0000-0000-000000000000}"/>
  <bookViews>
    <workbookView xWindow="860" yWindow="680" windowWidth="28040" windowHeight="17440" xr2:uid="{55AD2BB1-5889-614B-96D7-3681C427E69F}"/>
  </bookViews>
  <sheets>
    <sheet name="opt.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18" i="1"/>
  <c r="I17" i="1"/>
  <c r="I16" i="1"/>
  <c r="I15" i="1"/>
  <c r="I14" i="1"/>
  <c r="I84" i="1"/>
  <c r="I90" i="1"/>
  <c r="I91" i="1"/>
  <c r="I105" i="1"/>
  <c r="I107" i="1"/>
  <c r="I108" i="1"/>
  <c r="I109" i="1"/>
  <c r="I69" i="1"/>
  <c r="I71" i="1"/>
  <c r="I72" i="1"/>
  <c r="I73" i="1"/>
  <c r="I54" i="1"/>
  <c r="I35" i="1"/>
  <c r="I36" i="1"/>
  <c r="I65" i="1"/>
  <c r="I32" i="1"/>
  <c r="I116" i="1"/>
  <c r="I81" i="1"/>
  <c r="I28" i="1"/>
  <c r="I66" i="1"/>
  <c r="I74" i="1"/>
  <c r="I75" i="1"/>
  <c r="I76" i="1"/>
  <c r="I6" i="1"/>
  <c r="I58" i="1"/>
  <c r="I38" i="1"/>
  <c r="I39" i="1"/>
  <c r="I103" i="1"/>
  <c r="I102" i="1"/>
  <c r="I101" i="1"/>
  <c r="I47" i="1"/>
  <c r="I48" i="1"/>
  <c r="I49" i="1"/>
  <c r="I50" i="1"/>
  <c r="I31" i="1"/>
  <c r="I29" i="1"/>
  <c r="I30" i="1"/>
  <c r="I13" i="1"/>
  <c r="I12" i="1"/>
  <c r="I11" i="1"/>
  <c r="I111" i="1"/>
  <c r="I112" i="1"/>
  <c r="I113" i="1"/>
  <c r="I114" i="1"/>
  <c r="I115" i="1"/>
  <c r="I117" i="1"/>
  <c r="I118" i="1"/>
  <c r="I77" i="1"/>
  <c r="I78" i="1"/>
  <c r="I80" i="1"/>
  <c r="I82" i="1"/>
  <c r="I95" i="1"/>
  <c r="I96" i="1"/>
  <c r="I97" i="1"/>
  <c r="I98" i="1"/>
  <c r="I99" i="1"/>
  <c r="I100" i="1"/>
  <c r="I56" i="1"/>
  <c r="I57" i="1"/>
  <c r="I59" i="1"/>
  <c r="I60" i="1"/>
  <c r="I61" i="1"/>
  <c r="I62" i="1"/>
  <c r="I63" i="1"/>
  <c r="I64" i="1"/>
  <c r="I23" i="1"/>
  <c r="I24" i="1"/>
  <c r="I25" i="1"/>
  <c r="I26" i="1"/>
  <c r="I27" i="1"/>
  <c r="I40" i="1"/>
  <c r="I41" i="1"/>
  <c r="I42" i="1"/>
  <c r="I43" i="1"/>
  <c r="I44" i="1"/>
  <c r="I45" i="1"/>
  <c r="I46" i="1"/>
  <c r="I3" i="1"/>
  <c r="I4" i="1"/>
  <c r="I5" i="1"/>
  <c r="I7" i="1"/>
  <c r="I8" i="1"/>
  <c r="I9" i="1"/>
  <c r="I10" i="1"/>
  <c r="I20" i="1"/>
  <c r="I21" i="1"/>
  <c r="I22" i="1"/>
  <c r="I2" i="1"/>
</calcChain>
</file>

<file path=xl/sharedStrings.xml><?xml version="1.0" encoding="utf-8"?>
<sst xmlns="http://schemas.openxmlformats.org/spreadsheetml/2006/main" count="129" uniqueCount="129">
  <si>
    <t>Sample</t>
  </si>
  <si>
    <t>MOI</t>
  </si>
  <si>
    <t>Rep</t>
  </si>
  <si>
    <t>Infection.time.h</t>
  </si>
  <si>
    <t>OD600</t>
  </si>
  <si>
    <t>CFU.dilution</t>
  </si>
  <si>
    <t>CFU.count</t>
  </si>
  <si>
    <t>vol.plated</t>
  </si>
  <si>
    <t>spores.ml</t>
  </si>
  <si>
    <t>vPFU.dilution</t>
  </si>
  <si>
    <t>vPFU.count</t>
  </si>
  <si>
    <t>virospores.ml</t>
  </si>
  <si>
    <t>T0R1_0.1</t>
  </si>
  <si>
    <t>T0R2_0.1</t>
  </si>
  <si>
    <t>T0R3_0.1</t>
  </si>
  <si>
    <t>T0R1_1</t>
  </si>
  <si>
    <t>T0R2_1</t>
  </si>
  <si>
    <t>T0R3_1</t>
  </si>
  <si>
    <t>T0R1_10</t>
  </si>
  <si>
    <t>T0R2_10</t>
  </si>
  <si>
    <t>T0R3_10</t>
  </si>
  <si>
    <t>T4R1_0.1</t>
  </si>
  <si>
    <t>T4R2_0.1</t>
  </si>
  <si>
    <t>T4R3_0.1</t>
  </si>
  <si>
    <t>T4R1_1</t>
  </si>
  <si>
    <t>T4R2_1</t>
  </si>
  <si>
    <t>T4R3_1</t>
  </si>
  <si>
    <t>T4R1_10</t>
  </si>
  <si>
    <t>T4R2_10</t>
  </si>
  <si>
    <t>T4R3_10</t>
  </si>
  <si>
    <t>T8R1_0.1</t>
  </si>
  <si>
    <t>T8R2_0.1</t>
  </si>
  <si>
    <t>T8R3_0.1</t>
  </si>
  <si>
    <t>T8R1_1</t>
  </si>
  <si>
    <t>T8R2_1</t>
  </si>
  <si>
    <t>T8R3_1</t>
  </si>
  <si>
    <t>T8R1_10</t>
  </si>
  <si>
    <t>T8R2_10</t>
  </si>
  <si>
    <t>T8R3_10</t>
  </si>
  <si>
    <t>T12R1_0.1</t>
  </si>
  <si>
    <t>T12R2_0.1</t>
  </si>
  <si>
    <t>T12R3_0.1</t>
  </si>
  <si>
    <t>T12R1_1</t>
  </si>
  <si>
    <t>T12R2_1</t>
  </si>
  <si>
    <t>T12R3_1</t>
  </si>
  <si>
    <t>T12R1_10</t>
  </si>
  <si>
    <t>T12R2_10</t>
  </si>
  <si>
    <t>T12R3_10</t>
  </si>
  <si>
    <t>T16R1_0.1</t>
  </si>
  <si>
    <t>T16R2_0.1</t>
  </si>
  <si>
    <t>T16R3_0.1</t>
  </si>
  <si>
    <t>T16R1_1</t>
  </si>
  <si>
    <t>T16R2_1</t>
  </si>
  <si>
    <t>T16R3_1</t>
  </si>
  <si>
    <t>T16R1_10</t>
  </si>
  <si>
    <t>T16R2_10</t>
  </si>
  <si>
    <t>T16R3_10</t>
  </si>
  <si>
    <t>T20R1_0.1</t>
  </si>
  <si>
    <t>T20R2_0.1</t>
  </si>
  <si>
    <t>T20R3_0.1</t>
  </si>
  <si>
    <t>T20R1_1</t>
  </si>
  <si>
    <t>T20R2_1</t>
  </si>
  <si>
    <t>T20R3_1</t>
  </si>
  <si>
    <t>T20R1_10</t>
  </si>
  <si>
    <t>T20R2_10</t>
  </si>
  <si>
    <t>T20R3_10</t>
  </si>
  <si>
    <t>T24R1_0.1</t>
  </si>
  <si>
    <t>T24R2_0.1</t>
  </si>
  <si>
    <t>T24R3_0.1</t>
  </si>
  <si>
    <t>T24R1_1</t>
  </si>
  <si>
    <t>T24R2_1</t>
  </si>
  <si>
    <t>T24R3_1</t>
  </si>
  <si>
    <t>T24R1_10</t>
  </si>
  <si>
    <t>T24R2_10</t>
  </si>
  <si>
    <t>T24R3_10</t>
  </si>
  <si>
    <t>T22R2_1</t>
  </si>
  <si>
    <t>T2R3_1</t>
  </si>
  <si>
    <t>T2R2_1</t>
  </si>
  <si>
    <t>T2R1_1</t>
  </si>
  <si>
    <t>T14R2_1</t>
  </si>
  <si>
    <t>T18R1_1</t>
  </si>
  <si>
    <t>T10R2_1</t>
  </si>
  <si>
    <t>T10R1_1</t>
  </si>
  <si>
    <t>T18R2_10</t>
  </si>
  <si>
    <t>T18R3_10</t>
  </si>
  <si>
    <t>T6R3_10</t>
  </si>
  <si>
    <t>T6R2_10</t>
  </si>
  <si>
    <t>T6R1_10</t>
  </si>
  <si>
    <t>T2R1_10</t>
  </si>
  <si>
    <t>T2R2_10</t>
  </si>
  <si>
    <t>T2R3_10</t>
  </si>
  <si>
    <t>T22R1_10</t>
  </si>
  <si>
    <t>T22R2_10</t>
  </si>
  <si>
    <t>T22R3_10</t>
  </si>
  <si>
    <t>T10R1_10</t>
  </si>
  <si>
    <t>T10R2_10</t>
  </si>
  <si>
    <t>T10R3_10</t>
  </si>
  <si>
    <t>T18R1_10</t>
  </si>
  <si>
    <t>T14R2_10</t>
  </si>
  <si>
    <t>T14R3_10</t>
  </si>
  <si>
    <t>T14R1_10</t>
  </si>
  <si>
    <t>T2R1_0.1</t>
  </si>
  <si>
    <t>T2R2_0.1</t>
  </si>
  <si>
    <t>T2R3_0.1</t>
  </si>
  <si>
    <t>T6R3_0.1</t>
  </si>
  <si>
    <t>T6R1_0.1</t>
  </si>
  <si>
    <t>T6R2_0.1</t>
  </si>
  <si>
    <t>T14R2_0.1</t>
  </si>
  <si>
    <t>T18R2_0.1</t>
  </si>
  <si>
    <t>T14R1_0.1</t>
  </si>
  <si>
    <t>T10R1_0.1</t>
  </si>
  <si>
    <t>T10R2_0.1</t>
  </si>
  <si>
    <t>T10R3_0.1</t>
  </si>
  <si>
    <t>T22R1_0.1</t>
  </si>
  <si>
    <t>T22R2_0.1</t>
  </si>
  <si>
    <t>T22R3_0.1</t>
  </si>
  <si>
    <t>T22R1_1</t>
  </si>
  <si>
    <t>T22R3_1</t>
  </si>
  <si>
    <t>T18R2_1</t>
  </si>
  <si>
    <t>T18R3_0.1</t>
  </si>
  <si>
    <t>T18R1_0.1</t>
  </si>
  <si>
    <t>T14R3_1</t>
  </si>
  <si>
    <t>T10R3_1</t>
  </si>
  <si>
    <t>T6R1_1</t>
  </si>
  <si>
    <t>T6R2_1</t>
  </si>
  <si>
    <t>T6R3_1</t>
  </si>
  <si>
    <t>T14R3_0.1</t>
  </si>
  <si>
    <t>T14R1_1</t>
  </si>
  <si>
    <t>T18R3_1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</si>
</sst>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6C05-88A4-7648-B6E9-BA8FB98090B9}">
  <dimension ref="A1:L118"/>
  <sheetViews>
    <sheetView tabSelected="1" topLeftCell="A93" workbookViewId="0">
      <selection activeCell="N96" sqref="N96"/>
    </sheetView>
  </sheetViews>
  <sheetFormatPr baseColWidth="10" defaultRowHeight="16" x14ac:dyDescent="0.2"/>
  <sheetData>
    <row r="1" spans="1:12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0</v>
      </c>
      <c r="C2">
        <v>1</v>
      </c>
      <c r="D2">
        <v>0.1</v>
      </c>
      <c r="E2">
        <v>0.81899999999999995</v>
      </c>
      <c r="F2" s="1">
        <v>1E-3</v>
      </c>
      <c r="G2">
        <v>20</v>
      </c>
      <c r="H2">
        <v>0.1</v>
      </c>
      <c r="I2" s="1">
        <f>G2/(F2*H2)</f>
        <v>200000</v>
      </c>
    </row>
    <row r="3" spans="1:12" x14ac:dyDescent="0.2">
      <c r="A3" t="s">
        <v>13</v>
      </c>
      <c r="B3">
        <v>0</v>
      </c>
      <c r="C3">
        <v>2</v>
      </c>
      <c r="D3">
        <v>0.1</v>
      </c>
      <c r="E3">
        <v>0.67700000000000005</v>
      </c>
      <c r="F3" s="1">
        <v>0.01</v>
      </c>
      <c r="G3">
        <v>216</v>
      </c>
      <c r="H3">
        <v>0.1</v>
      </c>
      <c r="I3" s="1">
        <f t="shared" ref="I3:I118" si="0">G3/(F3*H3)</f>
        <v>216000</v>
      </c>
    </row>
    <row r="4" spans="1:12" x14ac:dyDescent="0.2">
      <c r="A4" t="s">
        <v>14</v>
      </c>
      <c r="B4">
        <v>0</v>
      </c>
      <c r="C4">
        <v>3</v>
      </c>
      <c r="D4">
        <v>0.1</v>
      </c>
      <c r="E4">
        <v>0.70199999999999996</v>
      </c>
      <c r="F4" s="1">
        <v>1E-3</v>
      </c>
      <c r="G4">
        <v>11</v>
      </c>
      <c r="H4">
        <v>0.1</v>
      </c>
      <c r="I4" s="1">
        <f t="shared" si="0"/>
        <v>110000</v>
      </c>
    </row>
    <row r="5" spans="1:12" x14ac:dyDescent="0.2">
      <c r="A5" t="s">
        <v>15</v>
      </c>
      <c r="B5">
        <v>0</v>
      </c>
      <c r="C5">
        <v>1</v>
      </c>
      <c r="D5">
        <v>1</v>
      </c>
      <c r="E5">
        <v>0.65300000000000002</v>
      </c>
      <c r="F5" s="1">
        <v>0.01</v>
      </c>
      <c r="G5">
        <v>307</v>
      </c>
      <c r="H5">
        <v>0.1</v>
      </c>
      <c r="I5" s="1">
        <f t="shared" si="0"/>
        <v>307000</v>
      </c>
    </row>
    <row r="6" spans="1:12" x14ac:dyDescent="0.2">
      <c r="A6" t="s">
        <v>16</v>
      </c>
      <c r="B6">
        <v>0</v>
      </c>
      <c r="C6">
        <v>2</v>
      </c>
      <c r="D6">
        <v>1</v>
      </c>
      <c r="E6">
        <v>0.70099999999999996</v>
      </c>
      <c r="F6" s="1">
        <v>1E-4</v>
      </c>
      <c r="G6">
        <v>2</v>
      </c>
      <c r="H6">
        <v>0.1</v>
      </c>
      <c r="I6" s="1">
        <f t="shared" si="0"/>
        <v>199999.99999999997</v>
      </c>
    </row>
    <row r="7" spans="1:12" x14ac:dyDescent="0.2">
      <c r="A7" t="s">
        <v>17</v>
      </c>
      <c r="B7">
        <v>0</v>
      </c>
      <c r="C7">
        <v>3</v>
      </c>
      <c r="D7">
        <v>1</v>
      </c>
      <c r="E7">
        <v>0.65600000000000003</v>
      </c>
      <c r="F7" s="1">
        <v>0.01</v>
      </c>
      <c r="G7">
        <v>83</v>
      </c>
      <c r="H7">
        <v>0.1</v>
      </c>
      <c r="I7" s="1">
        <f t="shared" si="0"/>
        <v>83000</v>
      </c>
    </row>
    <row r="8" spans="1:12" x14ac:dyDescent="0.2">
      <c r="A8" t="s">
        <v>18</v>
      </c>
      <c r="B8">
        <v>0</v>
      </c>
      <c r="C8">
        <v>1</v>
      </c>
      <c r="D8">
        <v>10</v>
      </c>
      <c r="E8">
        <v>0.71599999999999997</v>
      </c>
      <c r="F8" s="1">
        <v>0.01</v>
      </c>
      <c r="G8">
        <v>64</v>
      </c>
      <c r="H8">
        <v>0.1</v>
      </c>
      <c r="I8" s="1">
        <f t="shared" si="0"/>
        <v>64000</v>
      </c>
    </row>
    <row r="9" spans="1:12" x14ac:dyDescent="0.2">
      <c r="A9" t="s">
        <v>19</v>
      </c>
      <c r="B9">
        <v>0</v>
      </c>
      <c r="C9">
        <v>2</v>
      </c>
      <c r="D9">
        <v>10</v>
      </c>
      <c r="E9">
        <v>0.77600000000000002</v>
      </c>
      <c r="F9" s="1">
        <v>1E-4</v>
      </c>
      <c r="G9">
        <v>3</v>
      </c>
      <c r="H9">
        <v>0.1</v>
      </c>
      <c r="I9" s="1">
        <f t="shared" si="0"/>
        <v>300000</v>
      </c>
    </row>
    <row r="10" spans="1:12" x14ac:dyDescent="0.2">
      <c r="A10" t="s">
        <v>20</v>
      </c>
      <c r="B10">
        <v>0</v>
      </c>
      <c r="C10">
        <v>3</v>
      </c>
      <c r="D10">
        <v>10</v>
      </c>
      <c r="E10">
        <v>0.73499999999999999</v>
      </c>
      <c r="F10" s="1">
        <v>1E-3</v>
      </c>
      <c r="G10">
        <v>5</v>
      </c>
      <c r="H10">
        <v>0.1</v>
      </c>
      <c r="I10" s="1">
        <f t="shared" si="0"/>
        <v>50000</v>
      </c>
    </row>
    <row r="11" spans="1:12" x14ac:dyDescent="0.2">
      <c r="A11" t="s">
        <v>101</v>
      </c>
      <c r="B11">
        <v>2</v>
      </c>
      <c r="C11">
        <v>1</v>
      </c>
      <c r="D11">
        <v>0.1</v>
      </c>
      <c r="F11" s="1">
        <v>1E-4</v>
      </c>
      <c r="G11">
        <v>72</v>
      </c>
      <c r="H11">
        <v>0.1</v>
      </c>
      <c r="I11" s="1">
        <f t="shared" si="0"/>
        <v>7199999.9999999991</v>
      </c>
    </row>
    <row r="12" spans="1:12" x14ac:dyDescent="0.2">
      <c r="A12" t="s">
        <v>102</v>
      </c>
      <c r="B12">
        <v>2</v>
      </c>
      <c r="C12">
        <v>2</v>
      </c>
      <c r="D12">
        <v>0.1</v>
      </c>
      <c r="F12" s="1">
        <v>1E-4</v>
      </c>
      <c r="G12">
        <v>96</v>
      </c>
      <c r="H12">
        <v>0.1</v>
      </c>
      <c r="I12" s="1">
        <f t="shared" si="0"/>
        <v>9600000</v>
      </c>
    </row>
    <row r="13" spans="1:12" x14ac:dyDescent="0.2">
      <c r="A13" t="s">
        <v>103</v>
      </c>
      <c r="B13">
        <v>2</v>
      </c>
      <c r="C13">
        <v>3</v>
      </c>
      <c r="D13">
        <v>0.1</v>
      </c>
      <c r="F13" s="1">
        <v>1E-4</v>
      </c>
      <c r="G13">
        <v>48</v>
      </c>
      <c r="H13">
        <v>0.1</v>
      </c>
      <c r="I13" s="1">
        <f t="shared" si="0"/>
        <v>4800000</v>
      </c>
    </row>
    <row r="14" spans="1:12" x14ac:dyDescent="0.2">
      <c r="A14" t="s">
        <v>78</v>
      </c>
      <c r="B14">
        <v>2</v>
      </c>
      <c r="C14">
        <v>1</v>
      </c>
      <c r="D14">
        <v>1</v>
      </c>
      <c r="F14" s="1">
        <v>1E-4</v>
      </c>
      <c r="G14">
        <v>37</v>
      </c>
      <c r="H14">
        <v>0.1</v>
      </c>
      <c r="I14" s="1">
        <f t="shared" si="0"/>
        <v>3699999.9999999995</v>
      </c>
    </row>
    <row r="15" spans="1:12" x14ac:dyDescent="0.2">
      <c r="A15" t="s">
        <v>77</v>
      </c>
      <c r="B15">
        <v>2</v>
      </c>
      <c r="C15">
        <v>2</v>
      </c>
      <c r="D15">
        <v>1</v>
      </c>
      <c r="F15" s="1">
        <v>1E-4</v>
      </c>
      <c r="G15">
        <v>87</v>
      </c>
      <c r="H15">
        <v>0.1</v>
      </c>
      <c r="I15" s="1">
        <f t="shared" si="0"/>
        <v>8700000</v>
      </c>
    </row>
    <row r="16" spans="1:12" x14ac:dyDescent="0.2">
      <c r="A16" t="s">
        <v>76</v>
      </c>
      <c r="B16">
        <v>2</v>
      </c>
      <c r="C16">
        <v>3</v>
      </c>
      <c r="D16">
        <v>1</v>
      </c>
      <c r="F16" s="1">
        <v>1E-4</v>
      </c>
      <c r="G16">
        <v>81</v>
      </c>
      <c r="H16">
        <v>0.1</v>
      </c>
      <c r="I16" s="1">
        <f t="shared" si="0"/>
        <v>8099999.9999999991</v>
      </c>
    </row>
    <row r="17" spans="1:9" x14ac:dyDescent="0.2">
      <c r="A17" t="s">
        <v>88</v>
      </c>
      <c r="B17">
        <v>2</v>
      </c>
      <c r="C17">
        <v>1</v>
      </c>
      <c r="D17">
        <v>10</v>
      </c>
      <c r="F17" s="1">
        <v>1E-4</v>
      </c>
      <c r="G17">
        <v>172</v>
      </c>
      <c r="H17">
        <v>0.1</v>
      </c>
      <c r="I17" s="1">
        <f t="shared" si="0"/>
        <v>17200000</v>
      </c>
    </row>
    <row r="18" spans="1:9" x14ac:dyDescent="0.2">
      <c r="A18" t="s">
        <v>89</v>
      </c>
      <c r="B18">
        <v>2</v>
      </c>
      <c r="C18">
        <v>2</v>
      </c>
      <c r="D18">
        <v>10</v>
      </c>
      <c r="F18" s="1">
        <v>1E-4</v>
      </c>
      <c r="G18">
        <v>51</v>
      </c>
      <c r="H18">
        <v>0.1</v>
      </c>
      <c r="I18" s="1">
        <f t="shared" si="0"/>
        <v>5100000</v>
      </c>
    </row>
    <row r="19" spans="1:9" x14ac:dyDescent="0.2">
      <c r="A19" t="s">
        <v>90</v>
      </c>
      <c r="B19">
        <v>2</v>
      </c>
      <c r="C19">
        <v>3</v>
      </c>
      <c r="D19">
        <v>10</v>
      </c>
      <c r="F19" s="1"/>
      <c r="I19" s="1"/>
    </row>
    <row r="20" spans="1:9" x14ac:dyDescent="0.2">
      <c r="A20" t="s">
        <v>21</v>
      </c>
      <c r="B20">
        <v>4</v>
      </c>
      <c r="C20">
        <v>1</v>
      </c>
      <c r="D20">
        <v>0.1</v>
      </c>
      <c r="E20">
        <v>2.6629999999999998</v>
      </c>
      <c r="F20" s="1">
        <v>1E-4</v>
      </c>
      <c r="G20">
        <v>1180</v>
      </c>
      <c r="H20">
        <v>0.1</v>
      </c>
      <c r="I20" s="1">
        <f t="shared" si="0"/>
        <v>117999999.99999999</v>
      </c>
    </row>
    <row r="21" spans="1:9" x14ac:dyDescent="0.2">
      <c r="A21" t="s">
        <v>22</v>
      </c>
      <c r="B21">
        <v>4</v>
      </c>
      <c r="C21">
        <v>2</v>
      </c>
      <c r="D21">
        <v>0.1</v>
      </c>
      <c r="E21">
        <v>2.5499999999999998</v>
      </c>
      <c r="F21" s="1">
        <v>1E-4</v>
      </c>
      <c r="G21">
        <v>477</v>
      </c>
      <c r="H21">
        <v>0.1</v>
      </c>
      <c r="I21" s="1">
        <f t="shared" si="0"/>
        <v>47699999.999999993</v>
      </c>
    </row>
    <row r="22" spans="1:9" x14ac:dyDescent="0.2">
      <c r="A22" t="s">
        <v>23</v>
      </c>
      <c r="B22">
        <v>4</v>
      </c>
      <c r="C22">
        <v>3</v>
      </c>
      <c r="D22">
        <v>0.1</v>
      </c>
      <c r="E22">
        <v>2.6179999999999999</v>
      </c>
      <c r="F22" s="1">
        <v>1E-4</v>
      </c>
      <c r="G22">
        <v>1212</v>
      </c>
      <c r="H22">
        <v>0.1</v>
      </c>
      <c r="I22" s="1">
        <f t="shared" si="0"/>
        <v>121199999.99999999</v>
      </c>
    </row>
    <row r="23" spans="1:9" x14ac:dyDescent="0.2">
      <c r="A23" t="s">
        <v>24</v>
      </c>
      <c r="B23">
        <v>4</v>
      </c>
      <c r="C23">
        <v>1</v>
      </c>
      <c r="D23">
        <v>1</v>
      </c>
      <c r="E23">
        <v>0.32400000000000001</v>
      </c>
      <c r="F23" s="1">
        <v>1E-4</v>
      </c>
      <c r="G23">
        <v>1507</v>
      </c>
      <c r="H23">
        <v>0.1</v>
      </c>
      <c r="I23" s="1">
        <f t="shared" si="0"/>
        <v>150700000</v>
      </c>
    </row>
    <row r="24" spans="1:9" x14ac:dyDescent="0.2">
      <c r="A24" t="s">
        <v>25</v>
      </c>
      <c r="B24">
        <v>4</v>
      </c>
      <c r="C24">
        <v>2</v>
      </c>
      <c r="D24">
        <v>1</v>
      </c>
      <c r="E24">
        <v>2.6040000000000001</v>
      </c>
      <c r="F24" s="1">
        <v>1E-4</v>
      </c>
      <c r="G24">
        <v>322</v>
      </c>
      <c r="H24">
        <v>0.1</v>
      </c>
      <c r="I24" s="1">
        <f t="shared" si="0"/>
        <v>32199999.999999996</v>
      </c>
    </row>
    <row r="25" spans="1:9" x14ac:dyDescent="0.2">
      <c r="A25" t="s">
        <v>26</v>
      </c>
      <c r="B25">
        <v>4</v>
      </c>
      <c r="C25">
        <v>3</v>
      </c>
      <c r="D25">
        <v>1</v>
      </c>
      <c r="E25">
        <v>2.4870000000000001</v>
      </c>
      <c r="F25" s="1">
        <v>1E-4</v>
      </c>
      <c r="G25">
        <v>206</v>
      </c>
      <c r="H25">
        <v>0.1</v>
      </c>
      <c r="I25" s="1">
        <f t="shared" si="0"/>
        <v>20600000</v>
      </c>
    </row>
    <row r="26" spans="1:9" x14ac:dyDescent="0.2">
      <c r="A26" s="2" t="s">
        <v>27</v>
      </c>
      <c r="B26">
        <v>4</v>
      </c>
      <c r="C26">
        <v>1</v>
      </c>
      <c r="D26">
        <v>10</v>
      </c>
      <c r="E26">
        <v>2.5019999999999998</v>
      </c>
      <c r="F26" s="1">
        <v>1E-4</v>
      </c>
      <c r="G26">
        <v>129</v>
      </c>
      <c r="H26">
        <v>0.1</v>
      </c>
      <c r="I26" s="1">
        <f t="shared" si="0"/>
        <v>12899999.999999998</v>
      </c>
    </row>
    <row r="27" spans="1:9" x14ac:dyDescent="0.2">
      <c r="A27" s="2" t="s">
        <v>28</v>
      </c>
      <c r="B27">
        <v>4</v>
      </c>
      <c r="C27">
        <v>2</v>
      </c>
      <c r="D27">
        <v>10</v>
      </c>
      <c r="E27">
        <v>0.94</v>
      </c>
      <c r="F27" s="1">
        <v>9.9999999999999995E-7</v>
      </c>
      <c r="G27">
        <v>129</v>
      </c>
      <c r="H27">
        <v>0.1</v>
      </c>
      <c r="I27" s="1">
        <f t="shared" si="0"/>
        <v>1290000000</v>
      </c>
    </row>
    <row r="28" spans="1:9" x14ac:dyDescent="0.2">
      <c r="A28" s="2" t="s">
        <v>29</v>
      </c>
      <c r="B28">
        <v>4</v>
      </c>
      <c r="C28">
        <v>3</v>
      </c>
      <c r="D28">
        <v>10</v>
      </c>
      <c r="E28">
        <v>0.76800000000000002</v>
      </c>
      <c r="F28" s="1">
        <v>9.9999999999999995E-7</v>
      </c>
      <c r="G28">
        <v>149</v>
      </c>
      <c r="H28">
        <v>0.1</v>
      </c>
      <c r="I28" s="1">
        <f t="shared" si="0"/>
        <v>1490000000</v>
      </c>
    </row>
    <row r="29" spans="1:9" x14ac:dyDescent="0.2">
      <c r="A29" s="2" t="s">
        <v>105</v>
      </c>
      <c r="B29">
        <v>6</v>
      </c>
      <c r="C29">
        <v>1</v>
      </c>
      <c r="D29">
        <v>0.1</v>
      </c>
      <c r="F29" s="1">
        <v>1.0000000000000001E-5</v>
      </c>
      <c r="G29">
        <v>121</v>
      </c>
      <c r="H29">
        <v>0.1</v>
      </c>
      <c r="I29" s="1">
        <f t="shared" si="0"/>
        <v>120999999.99999999</v>
      </c>
    </row>
    <row r="30" spans="1:9" x14ac:dyDescent="0.2">
      <c r="A30" s="2" t="s">
        <v>106</v>
      </c>
      <c r="B30">
        <v>6</v>
      </c>
      <c r="C30">
        <v>2</v>
      </c>
      <c r="D30">
        <v>0.1</v>
      </c>
      <c r="F30" s="1">
        <v>1.0000000000000001E-5</v>
      </c>
      <c r="G30">
        <v>48</v>
      </c>
      <c r="H30">
        <v>0.1</v>
      </c>
      <c r="I30" s="1">
        <f t="shared" si="0"/>
        <v>47999999.999999993</v>
      </c>
    </row>
    <row r="31" spans="1:9" x14ac:dyDescent="0.2">
      <c r="A31" s="2" t="s">
        <v>104</v>
      </c>
      <c r="B31">
        <v>6</v>
      </c>
      <c r="C31">
        <v>3</v>
      </c>
      <c r="D31">
        <v>0.1</v>
      </c>
      <c r="F31" s="1">
        <v>1.0000000000000001E-5</v>
      </c>
      <c r="G31">
        <v>203</v>
      </c>
      <c r="H31">
        <v>0.1</v>
      </c>
      <c r="I31" s="1">
        <f t="shared" si="0"/>
        <v>202999999.99999997</v>
      </c>
    </row>
    <row r="32" spans="1:9" x14ac:dyDescent="0.2">
      <c r="A32" s="2" t="s">
        <v>123</v>
      </c>
      <c r="B32">
        <v>6</v>
      </c>
      <c r="C32">
        <v>1</v>
      </c>
      <c r="D32">
        <v>1</v>
      </c>
      <c r="F32" s="1">
        <v>1.0000000000000001E-5</v>
      </c>
      <c r="G32">
        <v>260</v>
      </c>
      <c r="H32">
        <v>0.1</v>
      </c>
      <c r="I32" s="1">
        <f t="shared" si="0"/>
        <v>259999999.99999997</v>
      </c>
    </row>
    <row r="33" spans="1:9" x14ac:dyDescent="0.2">
      <c r="A33" s="2" t="s">
        <v>124</v>
      </c>
      <c r="F33" s="1"/>
      <c r="I33" s="1"/>
    </row>
    <row r="34" spans="1:9" x14ac:dyDescent="0.2">
      <c r="A34" s="2" t="s">
        <v>125</v>
      </c>
      <c r="F34" s="1"/>
      <c r="I34" s="1"/>
    </row>
    <row r="35" spans="1:9" x14ac:dyDescent="0.2">
      <c r="A35" s="2" t="s">
        <v>87</v>
      </c>
      <c r="B35">
        <v>6</v>
      </c>
      <c r="C35">
        <v>1</v>
      </c>
      <c r="D35">
        <v>10</v>
      </c>
      <c r="F35" s="1">
        <v>1.0000000000000001E-5</v>
      </c>
      <c r="G35">
        <v>150</v>
      </c>
      <c r="H35">
        <v>0.1</v>
      </c>
      <c r="I35" s="1">
        <f t="shared" si="0"/>
        <v>149999999.99999997</v>
      </c>
    </row>
    <row r="36" spans="1:9" x14ac:dyDescent="0.2">
      <c r="A36" s="2" t="s">
        <v>86</v>
      </c>
      <c r="B36">
        <v>6</v>
      </c>
      <c r="C36">
        <v>2</v>
      </c>
      <c r="D36">
        <v>10</v>
      </c>
      <c r="F36" s="1">
        <v>1.0000000000000001E-5</v>
      </c>
      <c r="G36">
        <v>112</v>
      </c>
      <c r="H36">
        <v>0.1</v>
      </c>
      <c r="I36" s="1">
        <f t="shared" si="0"/>
        <v>111999999.99999999</v>
      </c>
    </row>
    <row r="37" spans="1:9" x14ac:dyDescent="0.2">
      <c r="A37" s="2" t="s">
        <v>85</v>
      </c>
      <c r="B37">
        <v>6</v>
      </c>
      <c r="C37">
        <v>3</v>
      </c>
      <c r="D37">
        <v>10</v>
      </c>
      <c r="F37" s="1"/>
      <c r="I37" s="1"/>
    </row>
    <row r="38" spans="1:9" x14ac:dyDescent="0.2">
      <c r="A38" t="s">
        <v>30</v>
      </c>
      <c r="B38">
        <v>8</v>
      </c>
      <c r="C38">
        <v>1</v>
      </c>
      <c r="D38">
        <v>0.1</v>
      </c>
      <c r="E38">
        <v>1.581</v>
      </c>
      <c r="F38" s="1">
        <v>9.9999999999999995E-8</v>
      </c>
      <c r="G38">
        <v>2</v>
      </c>
      <c r="H38">
        <v>0.1</v>
      </c>
      <c r="I38" s="1">
        <f t="shared" si="0"/>
        <v>200000000</v>
      </c>
    </row>
    <row r="39" spans="1:9" x14ac:dyDescent="0.2">
      <c r="A39" t="s">
        <v>31</v>
      </c>
      <c r="B39">
        <v>8</v>
      </c>
      <c r="C39">
        <v>2</v>
      </c>
      <c r="D39">
        <v>0.1</v>
      </c>
      <c r="E39">
        <v>1.494</v>
      </c>
      <c r="F39" s="1">
        <v>9.9999999999999995E-8</v>
      </c>
      <c r="G39">
        <v>3</v>
      </c>
      <c r="H39">
        <v>0.1</v>
      </c>
      <c r="I39" s="1">
        <f t="shared" si="0"/>
        <v>300000000</v>
      </c>
    </row>
    <row r="40" spans="1:9" x14ac:dyDescent="0.2">
      <c r="A40" t="s">
        <v>32</v>
      </c>
      <c r="B40">
        <v>8</v>
      </c>
      <c r="C40">
        <v>3</v>
      </c>
      <c r="D40">
        <v>0.1</v>
      </c>
      <c r="E40">
        <v>1.4710000000000001</v>
      </c>
      <c r="F40" s="1">
        <v>1.0000000000000001E-5</v>
      </c>
      <c r="G40">
        <v>98</v>
      </c>
      <c r="H40">
        <v>0.1</v>
      </c>
      <c r="I40" s="1">
        <f t="shared" si="0"/>
        <v>97999999.999999985</v>
      </c>
    </row>
    <row r="41" spans="1:9" x14ac:dyDescent="0.2">
      <c r="A41" t="s">
        <v>33</v>
      </c>
      <c r="B41">
        <v>8</v>
      </c>
      <c r="C41">
        <v>1</v>
      </c>
      <c r="D41">
        <v>1</v>
      </c>
      <c r="E41">
        <v>1.407</v>
      </c>
      <c r="F41" s="1">
        <v>1.0000000000000001E-5</v>
      </c>
      <c r="G41">
        <v>121</v>
      </c>
      <c r="H41">
        <v>0.1</v>
      </c>
      <c r="I41" s="1">
        <f t="shared" si="0"/>
        <v>120999999.99999999</v>
      </c>
    </row>
    <row r="42" spans="1:9" x14ac:dyDescent="0.2">
      <c r="A42" t="s">
        <v>34</v>
      </c>
      <c r="B42">
        <v>8</v>
      </c>
      <c r="C42">
        <v>2</v>
      </c>
      <c r="D42">
        <v>1</v>
      </c>
      <c r="E42">
        <v>1.482</v>
      </c>
      <c r="F42" s="1">
        <v>1.0000000000000001E-5</v>
      </c>
      <c r="G42">
        <v>276</v>
      </c>
      <c r="H42">
        <v>0.1</v>
      </c>
      <c r="I42" s="1">
        <f t="shared" si="0"/>
        <v>275999999.99999994</v>
      </c>
    </row>
    <row r="43" spans="1:9" x14ac:dyDescent="0.2">
      <c r="A43" t="s">
        <v>35</v>
      </c>
      <c r="B43">
        <v>8</v>
      </c>
      <c r="C43">
        <v>3</v>
      </c>
      <c r="D43">
        <v>1</v>
      </c>
      <c r="E43">
        <v>1.53</v>
      </c>
      <c r="F43" s="1">
        <v>9.9999999999999995E-7</v>
      </c>
      <c r="G43">
        <v>13</v>
      </c>
      <c r="H43">
        <v>0.1</v>
      </c>
      <c r="I43" s="1">
        <f t="shared" si="0"/>
        <v>130000000</v>
      </c>
    </row>
    <row r="44" spans="1:9" x14ac:dyDescent="0.2">
      <c r="A44" s="2" t="s">
        <v>36</v>
      </c>
      <c r="B44">
        <v>8</v>
      </c>
      <c r="C44">
        <v>1</v>
      </c>
      <c r="D44">
        <v>10</v>
      </c>
      <c r="E44">
        <v>1.5209999999999999</v>
      </c>
      <c r="F44" s="1">
        <v>1E-3</v>
      </c>
      <c r="G44">
        <v>714</v>
      </c>
      <c r="H44">
        <v>0.1</v>
      </c>
      <c r="I44" s="1">
        <f t="shared" si="0"/>
        <v>7140000</v>
      </c>
    </row>
    <row r="45" spans="1:9" x14ac:dyDescent="0.2">
      <c r="A45" s="2" t="s">
        <v>37</v>
      </c>
      <c r="B45">
        <v>8</v>
      </c>
      <c r="C45">
        <v>2</v>
      </c>
      <c r="D45">
        <v>10</v>
      </c>
      <c r="E45">
        <v>1.4950000000000001</v>
      </c>
      <c r="F45" s="1">
        <v>1E-3</v>
      </c>
      <c r="G45">
        <v>754</v>
      </c>
      <c r="H45">
        <v>0.1</v>
      </c>
      <c r="I45" s="1">
        <f t="shared" si="0"/>
        <v>7540000</v>
      </c>
    </row>
    <row r="46" spans="1:9" x14ac:dyDescent="0.2">
      <c r="A46" s="2" t="s">
        <v>38</v>
      </c>
      <c r="B46">
        <v>8</v>
      </c>
      <c r="C46">
        <v>3</v>
      </c>
      <c r="D46">
        <v>10</v>
      </c>
      <c r="E46">
        <v>1.262</v>
      </c>
      <c r="F46" s="1">
        <v>1E-3</v>
      </c>
      <c r="G46">
        <v>506</v>
      </c>
      <c r="H46">
        <v>0.1</v>
      </c>
      <c r="I46" s="1">
        <f t="shared" si="0"/>
        <v>5060000</v>
      </c>
    </row>
    <row r="47" spans="1:9" x14ac:dyDescent="0.2">
      <c r="A47" s="2" t="s">
        <v>110</v>
      </c>
      <c r="B47">
        <v>10</v>
      </c>
      <c r="C47">
        <v>1</v>
      </c>
      <c r="D47">
        <v>0.1</v>
      </c>
      <c r="F47" s="1">
        <v>1.0000000000000001E-5</v>
      </c>
      <c r="G47">
        <v>56</v>
      </c>
      <c r="H47">
        <v>0.1</v>
      </c>
      <c r="I47" s="1">
        <f t="shared" si="0"/>
        <v>55999999.999999993</v>
      </c>
    </row>
    <row r="48" spans="1:9" x14ac:dyDescent="0.2">
      <c r="A48" s="2" t="s">
        <v>111</v>
      </c>
      <c r="B48">
        <v>10</v>
      </c>
      <c r="C48">
        <v>2</v>
      </c>
      <c r="D48">
        <v>0.1</v>
      </c>
      <c r="F48" s="1">
        <v>1.0000000000000001E-5</v>
      </c>
      <c r="G48">
        <v>45</v>
      </c>
      <c r="H48">
        <v>0.1</v>
      </c>
      <c r="I48" s="1">
        <f t="shared" si="0"/>
        <v>44999999.999999993</v>
      </c>
    </row>
    <row r="49" spans="1:9" x14ac:dyDescent="0.2">
      <c r="A49" s="2" t="s">
        <v>112</v>
      </c>
      <c r="B49">
        <v>10</v>
      </c>
      <c r="C49">
        <v>3</v>
      </c>
      <c r="D49">
        <v>0.1</v>
      </c>
      <c r="F49" s="1">
        <v>1.0000000000000001E-5</v>
      </c>
      <c r="G49">
        <v>170</v>
      </c>
      <c r="H49">
        <v>0.1</v>
      </c>
      <c r="I49" s="1">
        <f t="shared" si="0"/>
        <v>169999999.99999997</v>
      </c>
    </row>
    <row r="50" spans="1:9" x14ac:dyDescent="0.2">
      <c r="A50" s="2" t="s">
        <v>82</v>
      </c>
      <c r="B50">
        <v>10</v>
      </c>
      <c r="C50">
        <v>1</v>
      </c>
      <c r="D50">
        <v>1</v>
      </c>
      <c r="F50" s="1">
        <v>1.0000000000000001E-5</v>
      </c>
      <c r="G50">
        <v>109</v>
      </c>
      <c r="H50">
        <v>0.1</v>
      </c>
      <c r="I50" s="1">
        <f t="shared" si="0"/>
        <v>108999999.99999999</v>
      </c>
    </row>
    <row r="51" spans="1:9" x14ac:dyDescent="0.2">
      <c r="A51" s="2" t="s">
        <v>81</v>
      </c>
      <c r="B51">
        <v>10</v>
      </c>
      <c r="C51">
        <v>2</v>
      </c>
      <c r="D51">
        <v>1</v>
      </c>
      <c r="F51" s="1">
        <v>1.0000000000000001E-5</v>
      </c>
      <c r="I51" s="1"/>
    </row>
    <row r="52" spans="1:9" x14ac:dyDescent="0.2">
      <c r="A52" s="2" t="s">
        <v>122</v>
      </c>
      <c r="F52" s="1"/>
      <c r="I52" s="1"/>
    </row>
    <row r="53" spans="1:9" x14ac:dyDescent="0.2">
      <c r="A53" s="2" t="s">
        <v>94</v>
      </c>
      <c r="B53">
        <v>10</v>
      </c>
      <c r="C53">
        <v>1</v>
      </c>
      <c r="D53">
        <v>10</v>
      </c>
      <c r="F53" s="1">
        <v>1.0000000000000001E-5</v>
      </c>
      <c r="G53">
        <v>321</v>
      </c>
      <c r="H53">
        <v>0.1</v>
      </c>
      <c r="I53" s="1">
        <f t="shared" si="0"/>
        <v>320999999.99999994</v>
      </c>
    </row>
    <row r="54" spans="1:9" x14ac:dyDescent="0.2">
      <c r="A54" s="2" t="s">
        <v>95</v>
      </c>
      <c r="B54">
        <v>10</v>
      </c>
      <c r="C54">
        <v>2</v>
      </c>
      <c r="D54">
        <v>10</v>
      </c>
      <c r="F54" s="1">
        <v>1.0000000000000001E-5</v>
      </c>
      <c r="G54">
        <v>70</v>
      </c>
      <c r="H54">
        <v>0.1</v>
      </c>
      <c r="I54" s="1">
        <f t="shared" si="0"/>
        <v>69999999.999999985</v>
      </c>
    </row>
    <row r="55" spans="1:9" x14ac:dyDescent="0.2">
      <c r="A55" s="2" t="s">
        <v>96</v>
      </c>
      <c r="B55">
        <v>10</v>
      </c>
      <c r="C55">
        <v>3</v>
      </c>
      <c r="D55">
        <v>10</v>
      </c>
      <c r="F55" s="1"/>
      <c r="I55" s="1"/>
    </row>
    <row r="56" spans="1:9" x14ac:dyDescent="0.2">
      <c r="A56" t="s">
        <v>39</v>
      </c>
      <c r="B56">
        <v>12</v>
      </c>
      <c r="C56">
        <v>1</v>
      </c>
      <c r="D56">
        <v>0.1</v>
      </c>
      <c r="E56">
        <v>2.0059999999999998</v>
      </c>
      <c r="F56" s="1">
        <v>1.0000000000000001E-5</v>
      </c>
      <c r="G56">
        <v>374</v>
      </c>
      <c r="H56">
        <v>0.1</v>
      </c>
      <c r="I56" s="1">
        <f>G56/(F56*H56)</f>
        <v>373999999.99999994</v>
      </c>
    </row>
    <row r="57" spans="1:9" x14ac:dyDescent="0.2">
      <c r="A57" t="s">
        <v>40</v>
      </c>
      <c r="B57">
        <v>12</v>
      </c>
      <c r="C57">
        <v>2</v>
      </c>
      <c r="D57">
        <v>0.1</v>
      </c>
      <c r="E57">
        <v>2.8889999999999998</v>
      </c>
      <c r="F57" s="1">
        <v>1.0000000000000001E-5</v>
      </c>
      <c r="G57">
        <v>1048</v>
      </c>
      <c r="H57">
        <v>0.1</v>
      </c>
      <c r="I57" s="1">
        <f t="shared" si="0"/>
        <v>1047999999.9999999</v>
      </c>
    </row>
    <row r="58" spans="1:9" x14ac:dyDescent="0.2">
      <c r="A58" t="s">
        <v>41</v>
      </c>
      <c r="B58">
        <v>12</v>
      </c>
      <c r="C58">
        <v>3</v>
      </c>
      <c r="D58">
        <v>0.1</v>
      </c>
      <c r="E58">
        <v>2.1349999999999998</v>
      </c>
      <c r="F58" s="1">
        <v>9.9999999999999995E-8</v>
      </c>
      <c r="G58">
        <v>13</v>
      </c>
      <c r="H58">
        <v>0.1</v>
      </c>
      <c r="I58" s="1">
        <f t="shared" si="0"/>
        <v>1300000000</v>
      </c>
    </row>
    <row r="59" spans="1:9" x14ac:dyDescent="0.2">
      <c r="A59" t="s">
        <v>42</v>
      </c>
      <c r="B59">
        <v>12</v>
      </c>
      <c r="C59">
        <v>1</v>
      </c>
      <c r="D59">
        <v>1</v>
      </c>
      <c r="E59">
        <v>4.34</v>
      </c>
      <c r="F59" s="1">
        <v>1.0000000000000001E-5</v>
      </c>
      <c r="G59">
        <v>1137</v>
      </c>
      <c r="H59">
        <v>0.1</v>
      </c>
      <c r="I59" s="1">
        <f t="shared" si="0"/>
        <v>1136999999.9999998</v>
      </c>
    </row>
    <row r="60" spans="1:9" x14ac:dyDescent="0.2">
      <c r="A60" t="s">
        <v>43</v>
      </c>
      <c r="B60">
        <v>12</v>
      </c>
      <c r="C60">
        <v>2</v>
      </c>
      <c r="D60">
        <v>1</v>
      </c>
      <c r="E60">
        <v>1.7310000000000001</v>
      </c>
      <c r="F60" s="1">
        <v>1.0000000000000001E-5</v>
      </c>
      <c r="G60">
        <v>194</v>
      </c>
      <c r="H60">
        <v>0.1</v>
      </c>
      <c r="I60" s="1">
        <f t="shared" si="0"/>
        <v>193999999.99999997</v>
      </c>
    </row>
    <row r="61" spans="1:9" x14ac:dyDescent="0.2">
      <c r="A61" t="s">
        <v>44</v>
      </c>
      <c r="B61">
        <v>12</v>
      </c>
      <c r="C61">
        <v>3</v>
      </c>
      <c r="D61">
        <v>1</v>
      </c>
      <c r="E61">
        <v>1.919</v>
      </c>
      <c r="F61" s="1">
        <v>1.0000000000000001E-5</v>
      </c>
      <c r="G61">
        <v>471</v>
      </c>
      <c r="H61">
        <v>0.1</v>
      </c>
      <c r="I61" s="1">
        <f t="shared" si="0"/>
        <v>470999999.99999994</v>
      </c>
    </row>
    <row r="62" spans="1:9" x14ac:dyDescent="0.2">
      <c r="A62" s="2" t="s">
        <v>45</v>
      </c>
      <c r="B62">
        <v>12</v>
      </c>
      <c r="C62">
        <v>1</v>
      </c>
      <c r="D62">
        <v>10</v>
      </c>
      <c r="E62">
        <v>1.7589999999999999</v>
      </c>
      <c r="F62" s="1">
        <v>1.0000000000000001E-5</v>
      </c>
      <c r="G62">
        <v>454</v>
      </c>
      <c r="H62">
        <v>0.1</v>
      </c>
      <c r="I62" s="1">
        <f t="shared" si="0"/>
        <v>453999999.99999994</v>
      </c>
    </row>
    <row r="63" spans="1:9" x14ac:dyDescent="0.2">
      <c r="A63" s="2" t="s">
        <v>46</v>
      </c>
      <c r="B63">
        <v>12</v>
      </c>
      <c r="C63">
        <v>2</v>
      </c>
      <c r="D63">
        <v>10</v>
      </c>
      <c r="E63">
        <v>2.8490000000000002</v>
      </c>
      <c r="F63" s="1">
        <v>1.0000000000000001E-5</v>
      </c>
      <c r="G63">
        <v>357</v>
      </c>
      <c r="H63">
        <v>0.1</v>
      </c>
      <c r="I63" s="1">
        <f t="shared" si="0"/>
        <v>356999999.99999994</v>
      </c>
    </row>
    <row r="64" spans="1:9" x14ac:dyDescent="0.2">
      <c r="A64" s="2" t="s">
        <v>47</v>
      </c>
      <c r="B64">
        <v>12</v>
      </c>
      <c r="C64">
        <v>3</v>
      </c>
      <c r="D64">
        <v>10</v>
      </c>
      <c r="E64">
        <v>1.5780000000000001</v>
      </c>
      <c r="F64" s="1">
        <v>1E-3</v>
      </c>
      <c r="G64">
        <v>2595</v>
      </c>
      <c r="H64">
        <v>0.1</v>
      </c>
      <c r="I64" s="1">
        <f t="shared" si="0"/>
        <v>25950000</v>
      </c>
    </row>
    <row r="65" spans="1:9" x14ac:dyDescent="0.2">
      <c r="A65" s="2" t="s">
        <v>109</v>
      </c>
      <c r="B65">
        <v>14</v>
      </c>
      <c r="C65">
        <v>1</v>
      </c>
      <c r="D65">
        <v>0.1</v>
      </c>
      <c r="F65" s="1">
        <v>9.9999999999999995E-7</v>
      </c>
      <c r="G65">
        <v>82</v>
      </c>
      <c r="H65">
        <v>0.1</v>
      </c>
      <c r="I65" s="1">
        <f t="shared" si="0"/>
        <v>820000000</v>
      </c>
    </row>
    <row r="66" spans="1:9" x14ac:dyDescent="0.2">
      <c r="A66" s="2" t="s">
        <v>107</v>
      </c>
      <c r="B66">
        <v>14</v>
      </c>
      <c r="C66">
        <v>2</v>
      </c>
      <c r="D66">
        <v>0.1</v>
      </c>
      <c r="F66" s="1">
        <v>9.9999999999999995E-7</v>
      </c>
      <c r="G66">
        <v>157</v>
      </c>
      <c r="H66">
        <v>0.1</v>
      </c>
      <c r="I66" s="1">
        <f t="shared" si="0"/>
        <v>1570000000</v>
      </c>
    </row>
    <row r="67" spans="1:9" x14ac:dyDescent="0.2">
      <c r="A67" s="2" t="s">
        <v>126</v>
      </c>
      <c r="F67" s="1"/>
      <c r="I67" s="1"/>
    </row>
    <row r="68" spans="1:9" x14ac:dyDescent="0.2">
      <c r="A68" s="2" t="s">
        <v>127</v>
      </c>
      <c r="F68" s="1"/>
      <c r="I68" s="1"/>
    </row>
    <row r="69" spans="1:9" x14ac:dyDescent="0.2">
      <c r="A69" s="2" t="s">
        <v>79</v>
      </c>
      <c r="B69">
        <v>14</v>
      </c>
      <c r="C69">
        <v>2</v>
      </c>
      <c r="D69">
        <v>1</v>
      </c>
      <c r="F69" s="1">
        <v>9.9999999999999995E-7</v>
      </c>
      <c r="G69">
        <v>76</v>
      </c>
      <c r="H69">
        <v>0.1</v>
      </c>
      <c r="I69" s="1">
        <f t="shared" si="0"/>
        <v>760000000</v>
      </c>
    </row>
    <row r="70" spans="1:9" x14ac:dyDescent="0.2">
      <c r="A70" s="2" t="s">
        <v>121</v>
      </c>
      <c r="F70" s="1"/>
      <c r="I70" s="1"/>
    </row>
    <row r="71" spans="1:9" x14ac:dyDescent="0.2">
      <c r="A71" s="2" t="s">
        <v>100</v>
      </c>
      <c r="B71">
        <v>14</v>
      </c>
      <c r="C71">
        <v>1</v>
      </c>
      <c r="D71">
        <v>10</v>
      </c>
      <c r="F71" s="1">
        <v>9.9999999999999995E-7</v>
      </c>
      <c r="G71">
        <v>14</v>
      </c>
      <c r="H71">
        <v>0.1</v>
      </c>
      <c r="I71" s="1">
        <f t="shared" si="0"/>
        <v>140000000</v>
      </c>
    </row>
    <row r="72" spans="1:9" x14ac:dyDescent="0.2">
      <c r="A72" s="2" t="s">
        <v>98</v>
      </c>
      <c r="B72">
        <v>14</v>
      </c>
      <c r="C72">
        <v>2</v>
      </c>
      <c r="D72">
        <v>10</v>
      </c>
      <c r="F72" s="1">
        <v>9.9999999999999995E-7</v>
      </c>
      <c r="G72">
        <v>51</v>
      </c>
      <c r="H72">
        <v>0.1</v>
      </c>
      <c r="I72" s="1">
        <f t="shared" si="0"/>
        <v>510000000</v>
      </c>
    </row>
    <row r="73" spans="1:9" x14ac:dyDescent="0.2">
      <c r="A73" s="2" t="s">
        <v>99</v>
      </c>
      <c r="B73">
        <v>14</v>
      </c>
      <c r="C73">
        <v>3</v>
      </c>
      <c r="D73">
        <v>10</v>
      </c>
      <c r="F73" s="1">
        <v>9.9999999999999995E-7</v>
      </c>
      <c r="G73">
        <v>60</v>
      </c>
      <c r="H73">
        <v>0.1</v>
      </c>
      <c r="I73" s="1">
        <f t="shared" si="0"/>
        <v>600000000</v>
      </c>
    </row>
    <row r="74" spans="1:9" x14ac:dyDescent="0.2">
      <c r="A74" t="s">
        <v>48</v>
      </c>
      <c r="B74">
        <v>16</v>
      </c>
      <c r="C74">
        <v>1</v>
      </c>
      <c r="D74">
        <v>0.1</v>
      </c>
      <c r="E74">
        <v>2.2719999999999998</v>
      </c>
      <c r="F74" s="1">
        <v>9.9999999999999995E-7</v>
      </c>
      <c r="G74">
        <v>35</v>
      </c>
      <c r="H74">
        <v>0.1</v>
      </c>
      <c r="I74" s="1">
        <f t="shared" si="0"/>
        <v>350000000</v>
      </c>
    </row>
    <row r="75" spans="1:9" x14ac:dyDescent="0.2">
      <c r="A75" t="s">
        <v>49</v>
      </c>
      <c r="B75">
        <v>16</v>
      </c>
      <c r="C75">
        <v>2</v>
      </c>
      <c r="D75">
        <v>0.1</v>
      </c>
      <c r="E75">
        <v>1.7929999999999999</v>
      </c>
      <c r="F75" s="1">
        <v>9.9999999999999995E-7</v>
      </c>
      <c r="G75">
        <v>18</v>
      </c>
      <c r="H75">
        <v>0.1</v>
      </c>
      <c r="I75" s="1">
        <f t="shared" si="0"/>
        <v>180000000</v>
      </c>
    </row>
    <row r="76" spans="1:9" x14ac:dyDescent="0.2">
      <c r="A76" t="s">
        <v>50</v>
      </c>
      <c r="B76">
        <v>16</v>
      </c>
      <c r="C76">
        <v>3</v>
      </c>
      <c r="D76">
        <v>0.1</v>
      </c>
      <c r="E76">
        <v>1.7390000000000001</v>
      </c>
      <c r="F76" s="1">
        <v>9.9999999999999995E-7</v>
      </c>
      <c r="G76">
        <v>13</v>
      </c>
      <c r="H76">
        <v>0.1</v>
      </c>
      <c r="I76" s="1">
        <f t="shared" si="0"/>
        <v>130000000</v>
      </c>
    </row>
    <row r="77" spans="1:9" x14ac:dyDescent="0.2">
      <c r="A77" t="s">
        <v>51</v>
      </c>
      <c r="B77">
        <v>16</v>
      </c>
      <c r="C77">
        <v>1</v>
      </c>
      <c r="D77">
        <v>1</v>
      </c>
      <c r="E77">
        <v>2.1360000000000001</v>
      </c>
      <c r="F77" s="1">
        <v>1.0000000000000001E-5</v>
      </c>
      <c r="G77">
        <v>371</v>
      </c>
      <c r="H77">
        <v>0.1</v>
      </c>
      <c r="I77" s="1">
        <f>G77/(F77*H77)</f>
        <v>370999999.99999994</v>
      </c>
    </row>
    <row r="78" spans="1:9" x14ac:dyDescent="0.2">
      <c r="A78" t="s">
        <v>52</v>
      </c>
      <c r="B78">
        <v>16</v>
      </c>
      <c r="C78">
        <v>2</v>
      </c>
      <c r="D78">
        <v>1</v>
      </c>
      <c r="E78">
        <v>1.5089999999999999</v>
      </c>
      <c r="F78" s="1">
        <v>1E-3</v>
      </c>
      <c r="G78">
        <v>1695</v>
      </c>
      <c r="H78">
        <v>0.1</v>
      </c>
      <c r="I78" s="1">
        <f t="shared" si="0"/>
        <v>16950000</v>
      </c>
    </row>
    <row r="79" spans="1:9" x14ac:dyDescent="0.2">
      <c r="A79" t="s">
        <v>53</v>
      </c>
      <c r="B79">
        <v>16</v>
      </c>
      <c r="C79">
        <v>3</v>
      </c>
      <c r="D79">
        <v>1</v>
      </c>
      <c r="E79">
        <v>1.573</v>
      </c>
      <c r="H79">
        <v>0.1</v>
      </c>
      <c r="I79" s="1"/>
    </row>
    <row r="80" spans="1:9" x14ac:dyDescent="0.2">
      <c r="A80" s="2" t="s">
        <v>54</v>
      </c>
      <c r="B80">
        <v>16</v>
      </c>
      <c r="C80">
        <v>1</v>
      </c>
      <c r="D80">
        <v>10</v>
      </c>
      <c r="E80">
        <v>1.474</v>
      </c>
      <c r="F80" s="1">
        <v>1.0000000000000001E-5</v>
      </c>
      <c r="G80">
        <v>40</v>
      </c>
      <c r="H80">
        <v>0.1</v>
      </c>
      <c r="I80" s="1">
        <f t="shared" si="0"/>
        <v>39999999.999999993</v>
      </c>
    </row>
    <row r="81" spans="1:9" x14ac:dyDescent="0.2">
      <c r="A81" s="2" t="s">
        <v>55</v>
      </c>
      <c r="B81">
        <v>16</v>
      </c>
      <c r="C81">
        <v>2</v>
      </c>
      <c r="D81">
        <v>10</v>
      </c>
      <c r="E81">
        <v>2.552</v>
      </c>
      <c r="F81" s="1">
        <v>9.9999999999999995E-8</v>
      </c>
      <c r="G81">
        <v>13</v>
      </c>
      <c r="H81">
        <v>0.1</v>
      </c>
      <c r="I81" s="1">
        <f t="shared" si="0"/>
        <v>1300000000</v>
      </c>
    </row>
    <row r="82" spans="1:9" x14ac:dyDescent="0.2">
      <c r="A82" s="2" t="s">
        <v>56</v>
      </c>
      <c r="B82">
        <v>16</v>
      </c>
      <c r="C82">
        <v>3</v>
      </c>
      <c r="D82">
        <v>10</v>
      </c>
      <c r="E82">
        <v>1.5</v>
      </c>
      <c r="F82" s="1">
        <v>1E-3</v>
      </c>
      <c r="G82">
        <v>1383</v>
      </c>
      <c r="H82">
        <v>0.1</v>
      </c>
      <c r="I82" s="1">
        <f t="shared" si="0"/>
        <v>13830000</v>
      </c>
    </row>
    <row r="83" spans="1:9" x14ac:dyDescent="0.2">
      <c r="A83" s="2" t="s">
        <v>120</v>
      </c>
      <c r="F83" s="1"/>
      <c r="I83" s="1"/>
    </row>
    <row r="84" spans="1:9" x14ac:dyDescent="0.2">
      <c r="A84" s="2" t="s">
        <v>108</v>
      </c>
      <c r="B84">
        <v>18</v>
      </c>
      <c r="C84">
        <v>2</v>
      </c>
      <c r="D84">
        <v>0.1</v>
      </c>
      <c r="F84" s="1">
        <v>9.9999999999999995E-7</v>
      </c>
      <c r="G84">
        <v>40</v>
      </c>
      <c r="H84">
        <v>0.1</v>
      </c>
      <c r="I84" s="1">
        <f t="shared" si="0"/>
        <v>400000000</v>
      </c>
    </row>
    <row r="85" spans="1:9" x14ac:dyDescent="0.2">
      <c r="A85" s="2" t="s">
        <v>119</v>
      </c>
      <c r="F85" s="1"/>
      <c r="I85" s="1"/>
    </row>
    <row r="86" spans="1:9" x14ac:dyDescent="0.2">
      <c r="A86" s="2" t="s">
        <v>80</v>
      </c>
      <c r="B86">
        <v>18</v>
      </c>
      <c r="C86">
        <v>1</v>
      </c>
      <c r="D86">
        <v>1</v>
      </c>
      <c r="F86" s="1">
        <v>9.9999999999999995E-7</v>
      </c>
      <c r="G86">
        <v>17</v>
      </c>
      <c r="I86" s="1"/>
    </row>
    <row r="87" spans="1:9" x14ac:dyDescent="0.2">
      <c r="A87" s="2" t="s">
        <v>118</v>
      </c>
      <c r="F87" s="1"/>
      <c r="I87" s="1"/>
    </row>
    <row r="88" spans="1:9" x14ac:dyDescent="0.2">
      <c r="A88" s="2" t="s">
        <v>128</v>
      </c>
      <c r="F88" s="1"/>
      <c r="I88" s="1"/>
    </row>
    <row r="89" spans="1:9" x14ac:dyDescent="0.2">
      <c r="A89" s="2" t="s">
        <v>97</v>
      </c>
      <c r="B89">
        <v>18</v>
      </c>
      <c r="C89">
        <v>1</v>
      </c>
      <c r="D89">
        <v>10</v>
      </c>
      <c r="F89" s="1"/>
      <c r="I89" s="1"/>
    </row>
    <row r="90" spans="1:9" x14ac:dyDescent="0.2">
      <c r="A90" s="2" t="s">
        <v>83</v>
      </c>
      <c r="B90">
        <v>18</v>
      </c>
      <c r="C90">
        <v>2</v>
      </c>
      <c r="D90">
        <v>10</v>
      </c>
      <c r="F90" s="1">
        <v>9.9999999999999995E-7</v>
      </c>
      <c r="G90">
        <v>45</v>
      </c>
      <c r="H90">
        <v>0.1</v>
      </c>
      <c r="I90" s="1">
        <f t="shared" si="0"/>
        <v>450000000</v>
      </c>
    </row>
    <row r="91" spans="1:9" x14ac:dyDescent="0.2">
      <c r="A91" s="2" t="s">
        <v>84</v>
      </c>
      <c r="B91">
        <v>18</v>
      </c>
      <c r="C91">
        <v>3</v>
      </c>
      <c r="D91">
        <v>10</v>
      </c>
      <c r="F91" s="1">
        <v>9.9999999999999995E-7</v>
      </c>
      <c r="G91">
        <v>8</v>
      </c>
      <c r="H91">
        <v>0.1</v>
      </c>
      <c r="I91" s="1">
        <f t="shared" si="0"/>
        <v>80000000</v>
      </c>
    </row>
    <row r="92" spans="1:9" x14ac:dyDescent="0.2">
      <c r="A92" t="s">
        <v>57</v>
      </c>
      <c r="B92">
        <v>20</v>
      </c>
      <c r="C92">
        <v>1</v>
      </c>
      <c r="D92">
        <v>0.1</v>
      </c>
      <c r="E92">
        <v>2.2589999999999999</v>
      </c>
      <c r="I92" s="1"/>
    </row>
    <row r="93" spans="1:9" x14ac:dyDescent="0.2">
      <c r="A93" t="s">
        <v>58</v>
      </c>
      <c r="B93">
        <v>20</v>
      </c>
      <c r="C93">
        <v>2</v>
      </c>
      <c r="D93">
        <v>0.1</v>
      </c>
      <c r="E93">
        <v>2.589</v>
      </c>
      <c r="I93" s="1"/>
    </row>
    <row r="94" spans="1:9" x14ac:dyDescent="0.2">
      <c r="A94" t="s">
        <v>59</v>
      </c>
      <c r="B94">
        <v>20</v>
      </c>
      <c r="C94">
        <v>3</v>
      </c>
      <c r="D94">
        <v>0.1</v>
      </c>
      <c r="E94">
        <v>1.9419999999999999</v>
      </c>
      <c r="I94" s="1"/>
    </row>
    <row r="95" spans="1:9" x14ac:dyDescent="0.2">
      <c r="A95" t="s">
        <v>60</v>
      </c>
      <c r="B95">
        <v>20</v>
      </c>
      <c r="C95">
        <v>1</v>
      </c>
      <c r="D95">
        <v>1</v>
      </c>
      <c r="E95">
        <v>0.84</v>
      </c>
      <c r="F95" s="1">
        <v>1E-4</v>
      </c>
      <c r="G95">
        <v>466</v>
      </c>
      <c r="H95">
        <v>0.1</v>
      </c>
      <c r="I95" s="1">
        <f t="shared" si="0"/>
        <v>46599999.999999993</v>
      </c>
    </row>
    <row r="96" spans="1:9" x14ac:dyDescent="0.2">
      <c r="A96" t="s">
        <v>61</v>
      </c>
      <c r="B96">
        <v>20</v>
      </c>
      <c r="C96">
        <v>2</v>
      </c>
      <c r="D96">
        <v>1</v>
      </c>
      <c r="E96">
        <v>0.68300000000000005</v>
      </c>
      <c r="F96" s="1">
        <v>9.9999999999999995E-7</v>
      </c>
      <c r="G96">
        <v>20</v>
      </c>
      <c r="H96">
        <v>0.1</v>
      </c>
      <c r="I96" s="1">
        <f t="shared" si="0"/>
        <v>200000000</v>
      </c>
    </row>
    <row r="97" spans="1:9" x14ac:dyDescent="0.2">
      <c r="A97" t="s">
        <v>62</v>
      </c>
      <c r="B97">
        <v>20</v>
      </c>
      <c r="C97">
        <v>3</v>
      </c>
      <c r="D97">
        <v>1</v>
      </c>
      <c r="E97">
        <v>0.88</v>
      </c>
      <c r="F97" s="1">
        <v>9.9999999999999995E-7</v>
      </c>
      <c r="G97">
        <v>22</v>
      </c>
      <c r="H97">
        <v>0.1</v>
      </c>
      <c r="I97" s="1">
        <f t="shared" si="0"/>
        <v>220000000</v>
      </c>
    </row>
    <row r="98" spans="1:9" x14ac:dyDescent="0.2">
      <c r="A98" s="2" t="s">
        <v>63</v>
      </c>
      <c r="B98">
        <v>20</v>
      </c>
      <c r="C98">
        <v>1</v>
      </c>
      <c r="D98">
        <v>10</v>
      </c>
      <c r="E98">
        <v>0.79</v>
      </c>
      <c r="F98" s="1">
        <v>9.9999999999999995E-7</v>
      </c>
      <c r="G98">
        <v>35</v>
      </c>
      <c r="H98">
        <v>0.1</v>
      </c>
      <c r="I98" s="1">
        <f t="shared" si="0"/>
        <v>350000000</v>
      </c>
    </row>
    <row r="99" spans="1:9" x14ac:dyDescent="0.2">
      <c r="A99" s="2" t="s">
        <v>64</v>
      </c>
      <c r="B99">
        <v>20</v>
      </c>
      <c r="C99">
        <v>2</v>
      </c>
      <c r="D99">
        <v>10</v>
      </c>
      <c r="E99">
        <v>1.075</v>
      </c>
      <c r="F99" s="1">
        <v>1E-4</v>
      </c>
      <c r="G99">
        <v>115</v>
      </c>
      <c r="H99">
        <v>0.1</v>
      </c>
      <c r="I99" s="1">
        <f t="shared" si="0"/>
        <v>11499999.999999998</v>
      </c>
    </row>
    <row r="100" spans="1:9" x14ac:dyDescent="0.2">
      <c r="A100" s="2" t="s">
        <v>65</v>
      </c>
      <c r="B100">
        <v>20</v>
      </c>
      <c r="C100">
        <v>3</v>
      </c>
      <c r="D100">
        <v>10</v>
      </c>
      <c r="E100">
        <v>0.90500000000000003</v>
      </c>
      <c r="F100" s="1">
        <v>9.9999999999999995E-7</v>
      </c>
      <c r="G100">
        <v>20</v>
      </c>
      <c r="H100">
        <v>0.1</v>
      </c>
      <c r="I100" s="1">
        <f t="shared" si="0"/>
        <v>200000000</v>
      </c>
    </row>
    <row r="101" spans="1:9" x14ac:dyDescent="0.2">
      <c r="A101" s="2" t="s">
        <v>113</v>
      </c>
      <c r="B101">
        <v>22</v>
      </c>
      <c r="C101">
        <v>1</v>
      </c>
      <c r="D101">
        <v>0.1</v>
      </c>
      <c r="F101" s="1">
        <v>9.9999999999999995E-7</v>
      </c>
      <c r="G101" s="3">
        <v>15</v>
      </c>
      <c r="H101" s="3">
        <v>0.1</v>
      </c>
      <c r="I101" s="1">
        <f t="shared" si="0"/>
        <v>150000000</v>
      </c>
    </row>
    <row r="102" spans="1:9" x14ac:dyDescent="0.2">
      <c r="A102" s="2" t="s">
        <v>114</v>
      </c>
      <c r="B102">
        <v>22</v>
      </c>
      <c r="C102">
        <v>2</v>
      </c>
      <c r="D102">
        <v>0.1</v>
      </c>
      <c r="F102" s="1">
        <v>9.9999999999999995E-7</v>
      </c>
      <c r="G102" s="3">
        <v>118</v>
      </c>
      <c r="H102" s="3">
        <v>0.1</v>
      </c>
      <c r="I102" s="1">
        <f t="shared" si="0"/>
        <v>1180000000</v>
      </c>
    </row>
    <row r="103" spans="1:9" x14ac:dyDescent="0.2">
      <c r="A103" s="2" t="s">
        <v>115</v>
      </c>
      <c r="B103">
        <v>22</v>
      </c>
      <c r="C103">
        <v>3</v>
      </c>
      <c r="D103">
        <v>0.1</v>
      </c>
      <c r="F103" s="1">
        <v>9.9999999999999995E-7</v>
      </c>
      <c r="G103" s="3">
        <v>53</v>
      </c>
      <c r="H103" s="3">
        <v>0.1</v>
      </c>
      <c r="I103" s="1">
        <f t="shared" si="0"/>
        <v>530000000</v>
      </c>
    </row>
    <row r="104" spans="1:9" x14ac:dyDescent="0.2">
      <c r="A104" s="2" t="s">
        <v>116</v>
      </c>
      <c r="F104" s="1"/>
      <c r="G104" s="3"/>
      <c r="H104" s="3"/>
      <c r="I104" s="1"/>
    </row>
    <row r="105" spans="1:9" x14ac:dyDescent="0.2">
      <c r="A105" s="2" t="s">
        <v>75</v>
      </c>
      <c r="B105">
        <v>22</v>
      </c>
      <c r="C105">
        <v>2</v>
      </c>
      <c r="D105">
        <v>1</v>
      </c>
      <c r="F105" s="1">
        <v>9.9999999999999995E-7</v>
      </c>
      <c r="G105">
        <v>30</v>
      </c>
      <c r="H105">
        <v>0.1</v>
      </c>
      <c r="I105" s="1">
        <f t="shared" si="0"/>
        <v>300000000</v>
      </c>
    </row>
    <row r="106" spans="1:9" x14ac:dyDescent="0.2">
      <c r="A106" s="2" t="s">
        <v>117</v>
      </c>
      <c r="F106" s="1"/>
      <c r="I106" s="1"/>
    </row>
    <row r="107" spans="1:9" x14ac:dyDescent="0.2">
      <c r="A107" s="2" t="s">
        <v>91</v>
      </c>
      <c r="B107">
        <v>22</v>
      </c>
      <c r="C107">
        <v>1</v>
      </c>
      <c r="D107">
        <v>10</v>
      </c>
      <c r="F107" s="1">
        <v>9.9999999999999995E-7</v>
      </c>
      <c r="G107">
        <v>24</v>
      </c>
      <c r="H107">
        <v>0.1</v>
      </c>
      <c r="I107" s="1">
        <f t="shared" si="0"/>
        <v>240000000</v>
      </c>
    </row>
    <row r="108" spans="1:9" x14ac:dyDescent="0.2">
      <c r="A108" s="2" t="s">
        <v>92</v>
      </c>
      <c r="B108">
        <v>22</v>
      </c>
      <c r="C108">
        <v>2</v>
      </c>
      <c r="D108">
        <v>10</v>
      </c>
      <c r="F108" s="1">
        <v>9.9999999999999995E-7</v>
      </c>
      <c r="G108">
        <v>15</v>
      </c>
      <c r="H108">
        <v>0.1</v>
      </c>
      <c r="I108" s="1">
        <f t="shared" si="0"/>
        <v>150000000</v>
      </c>
    </row>
    <row r="109" spans="1:9" x14ac:dyDescent="0.2">
      <c r="A109" s="2" t="s">
        <v>93</v>
      </c>
      <c r="B109">
        <v>22</v>
      </c>
      <c r="C109">
        <v>3</v>
      </c>
      <c r="D109">
        <v>10</v>
      </c>
      <c r="F109" s="1">
        <v>9.9999999999999995E-7</v>
      </c>
      <c r="G109">
        <v>23</v>
      </c>
      <c r="H109">
        <v>0.1</v>
      </c>
      <c r="I109" s="1">
        <f t="shared" si="0"/>
        <v>230000000</v>
      </c>
    </row>
    <row r="110" spans="1:9" x14ac:dyDescent="0.2">
      <c r="A110" s="2" t="s">
        <v>66</v>
      </c>
      <c r="B110">
        <v>24</v>
      </c>
      <c r="C110">
        <v>1</v>
      </c>
      <c r="D110" s="2">
        <v>0.1</v>
      </c>
      <c r="E110">
        <v>1.8</v>
      </c>
      <c r="H110">
        <v>0.1</v>
      </c>
      <c r="I110" s="1"/>
    </row>
    <row r="111" spans="1:9" x14ac:dyDescent="0.2">
      <c r="A111" s="2" t="s">
        <v>67</v>
      </c>
      <c r="B111">
        <v>24</v>
      </c>
      <c r="C111">
        <v>2</v>
      </c>
      <c r="D111" s="2">
        <v>0.1</v>
      </c>
      <c r="E111">
        <v>0.71499999999999997</v>
      </c>
      <c r="F111" s="1">
        <v>1E-4</v>
      </c>
      <c r="G111">
        <v>1091</v>
      </c>
      <c r="H111">
        <v>0.1</v>
      </c>
      <c r="I111" s="1">
        <f t="shared" si="0"/>
        <v>109099999.99999999</v>
      </c>
    </row>
    <row r="112" spans="1:9" x14ac:dyDescent="0.2">
      <c r="A112" s="2" t="s">
        <v>68</v>
      </c>
      <c r="B112">
        <v>24</v>
      </c>
      <c r="C112">
        <v>3</v>
      </c>
      <c r="D112" s="2">
        <v>0.1</v>
      </c>
      <c r="E112">
        <v>1.0960000000000001</v>
      </c>
      <c r="F112" s="1">
        <v>1E-4</v>
      </c>
      <c r="G112">
        <v>1766</v>
      </c>
      <c r="H112">
        <v>0.1</v>
      </c>
      <c r="I112" s="1">
        <f t="shared" si="0"/>
        <v>176600000</v>
      </c>
    </row>
    <row r="113" spans="1:9" x14ac:dyDescent="0.2">
      <c r="A113" s="2" t="s">
        <v>69</v>
      </c>
      <c r="B113">
        <v>24</v>
      </c>
      <c r="C113">
        <v>1</v>
      </c>
      <c r="D113" s="2">
        <v>1</v>
      </c>
      <c r="E113">
        <v>0.98799999999999999</v>
      </c>
      <c r="F113" s="1">
        <v>1E-4</v>
      </c>
      <c r="G113">
        <v>206</v>
      </c>
      <c r="H113">
        <v>0.1</v>
      </c>
      <c r="I113" s="1">
        <f t="shared" si="0"/>
        <v>20600000</v>
      </c>
    </row>
    <row r="114" spans="1:9" x14ac:dyDescent="0.2">
      <c r="A114" s="2" t="s">
        <v>70</v>
      </c>
      <c r="B114">
        <v>24</v>
      </c>
      <c r="C114">
        <v>2</v>
      </c>
      <c r="D114" s="2">
        <v>1</v>
      </c>
      <c r="E114">
        <v>0.76900000000000002</v>
      </c>
      <c r="F114" s="1">
        <v>1E-4</v>
      </c>
      <c r="G114">
        <v>1307</v>
      </c>
      <c r="H114">
        <v>0.1</v>
      </c>
      <c r="I114" s="1">
        <f t="shared" si="0"/>
        <v>130699999.99999999</v>
      </c>
    </row>
    <row r="115" spans="1:9" x14ac:dyDescent="0.2">
      <c r="A115" s="2" t="s">
        <v>71</v>
      </c>
      <c r="B115">
        <v>24</v>
      </c>
      <c r="C115">
        <v>3</v>
      </c>
      <c r="D115" s="2">
        <v>1</v>
      </c>
      <c r="E115">
        <v>0.91800000000000004</v>
      </c>
      <c r="F115" s="1">
        <v>1E-4</v>
      </c>
      <c r="G115">
        <v>615</v>
      </c>
      <c r="H115">
        <v>0.1</v>
      </c>
      <c r="I115" s="1">
        <f t="shared" si="0"/>
        <v>61499999.999999993</v>
      </c>
    </row>
    <row r="116" spans="1:9" x14ac:dyDescent="0.2">
      <c r="A116" s="2" t="s">
        <v>72</v>
      </c>
      <c r="B116">
        <v>24</v>
      </c>
      <c r="C116">
        <v>1</v>
      </c>
      <c r="D116" s="2">
        <v>10</v>
      </c>
      <c r="E116">
        <v>0.93600000000000005</v>
      </c>
      <c r="F116" s="1">
        <v>9.9999999999999995E-7</v>
      </c>
      <c r="G116">
        <v>14</v>
      </c>
      <c r="H116">
        <v>0.1</v>
      </c>
      <c r="I116" s="1">
        <f t="shared" si="0"/>
        <v>140000000</v>
      </c>
    </row>
    <row r="117" spans="1:9" x14ac:dyDescent="0.2">
      <c r="A117" s="2" t="s">
        <v>73</v>
      </c>
      <c r="B117">
        <v>24</v>
      </c>
      <c r="C117">
        <v>2</v>
      </c>
      <c r="D117" s="2">
        <v>10</v>
      </c>
      <c r="E117">
        <v>1.758</v>
      </c>
      <c r="F117" s="1">
        <v>9.9999999999999995E-7</v>
      </c>
      <c r="G117">
        <v>55</v>
      </c>
      <c r="H117">
        <v>0.1</v>
      </c>
      <c r="I117" s="1">
        <f t="shared" si="0"/>
        <v>550000000</v>
      </c>
    </row>
    <row r="118" spans="1:9" x14ac:dyDescent="0.2">
      <c r="A118" s="2" t="s">
        <v>74</v>
      </c>
      <c r="B118">
        <v>24</v>
      </c>
      <c r="C118">
        <v>3</v>
      </c>
      <c r="D118" s="2">
        <v>10</v>
      </c>
      <c r="E118">
        <v>0.91400000000000003</v>
      </c>
      <c r="F118" s="1">
        <v>1E-4</v>
      </c>
      <c r="G118">
        <v>544</v>
      </c>
      <c r="H118">
        <v>0.1</v>
      </c>
      <c r="I118" s="1">
        <f t="shared" si="0"/>
        <v>54399999.999999993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054097-5515-4A96-BADD-9AC9FC805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2E974-E37A-47AC-AEE9-EC69A7E7453B}">
  <ds:schemaRefs>
    <ds:schemaRef ds:uri="http://purl.org/dc/terms/"/>
    <ds:schemaRef ds:uri="http://purl.org/dc/dcmitype/"/>
    <ds:schemaRef ds:uri="http://purl.org/dc/elements/1.1/"/>
    <ds:schemaRef ds:uri="f0f9615f-c5bb-4d0d-9154-15db78a898a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CD3180F-8EE5-46C7-882B-48471A3D7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2026-06-30T01:58:00Z</dcterms:created>
  <dcterms:modified xsi:type="dcterms:W3CDTF">2026-07-03T20:18:54Z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