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yobrien/GitHub/VirosporeQuant/Optimal.entrap/"/>
    </mc:Choice>
  </mc:AlternateContent>
  <xr:revisionPtr revIDLastSave="0" documentId="13_ncr:1_{55EC5FA7-E2A5-044F-9029-8848CADABE26}" xr6:coauthVersionLast="47" xr6:coauthVersionMax="47" xr10:uidLastSave="{00000000-0000-0000-0000-000000000000}"/>
  <bookViews>
    <workbookView xWindow="1500" yWindow="1320" windowWidth="27640" windowHeight="16940" xr2:uid="{E9CD57B2-6A2A-7543-84BD-5862D0836A97}"/>
  </bookViews>
  <sheets>
    <sheet name="opt.entrap.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H10" i="1"/>
  <c r="K9" i="1"/>
  <c r="H9" i="1"/>
  <c r="K8" i="1"/>
  <c r="H8" i="1"/>
  <c r="K7" i="1"/>
  <c r="H7" i="1"/>
  <c r="K6" i="1"/>
  <c r="H6" i="1"/>
  <c r="K5" i="1"/>
  <c r="H5" i="1"/>
  <c r="K4" i="1"/>
  <c r="H4" i="1"/>
  <c r="K3" i="1"/>
  <c r="H3" i="1"/>
  <c r="K2" i="1"/>
  <c r="H2" i="1"/>
</calcChain>
</file>

<file path=xl/sharedStrings.xml><?xml version="1.0" encoding="utf-8"?>
<sst xmlns="http://schemas.openxmlformats.org/spreadsheetml/2006/main" count="20" uniqueCount="20">
  <si>
    <t>Sample.ID</t>
  </si>
  <si>
    <t>Time.infection.hr</t>
  </si>
  <si>
    <t>Rep</t>
  </si>
  <si>
    <t>MOI</t>
  </si>
  <si>
    <t>spores.Dilution</t>
  </si>
  <si>
    <t>Spores.cfu</t>
  </si>
  <si>
    <t>volume.ml</t>
  </si>
  <si>
    <t>spores.ml</t>
  </si>
  <si>
    <t>virospores.pfu</t>
  </si>
  <si>
    <t>virospores.dilution</t>
  </si>
  <si>
    <t>virospores.ml</t>
  </si>
  <si>
    <t>T0R1</t>
  </si>
  <si>
    <t>T0R2</t>
  </si>
  <si>
    <t>T0R3</t>
  </si>
  <si>
    <t>T2R1</t>
  </si>
  <si>
    <t>T2R2</t>
  </si>
  <si>
    <t>T2R3</t>
  </si>
  <si>
    <t>T4R1</t>
  </si>
  <si>
    <t>T4R2</t>
  </si>
  <si>
    <t>T4R3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</si>
</sst>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7BA1D-FA44-5645-BC7F-735FF7E0359E}">
  <dimension ref="A1:K10"/>
  <sheetViews>
    <sheetView tabSelected="1" workbookViewId="0">
      <selection activeCell="E22" sqref="E22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0</v>
      </c>
      <c r="C2">
        <v>1</v>
      </c>
      <c r="D2">
        <v>1</v>
      </c>
      <c r="E2" s="1">
        <v>0.01</v>
      </c>
      <c r="F2">
        <v>47</v>
      </c>
      <c r="G2">
        <v>0.1</v>
      </c>
      <c r="H2" s="1">
        <f>F2/(E2*G2)</f>
        <v>47000</v>
      </c>
      <c r="I2">
        <v>457</v>
      </c>
      <c r="J2" s="1">
        <v>0.1</v>
      </c>
      <c r="K2" s="1">
        <f>I2/(J2*G2)</f>
        <v>45699.999999999993</v>
      </c>
    </row>
    <row r="3" spans="1:11" x14ac:dyDescent="0.2">
      <c r="A3" t="s">
        <v>12</v>
      </c>
      <c r="B3">
        <v>0</v>
      </c>
      <c r="C3">
        <v>2</v>
      </c>
      <c r="D3">
        <v>1</v>
      </c>
      <c r="E3" s="1">
        <v>0.01</v>
      </c>
      <c r="F3">
        <v>31</v>
      </c>
      <c r="G3">
        <v>0.1</v>
      </c>
      <c r="H3" s="1">
        <f t="shared" ref="H3:H10" si="0">F3/(E3*G3)</f>
        <v>31000</v>
      </c>
      <c r="I3">
        <v>120</v>
      </c>
      <c r="J3" s="1">
        <v>0.1</v>
      </c>
      <c r="K3" s="1">
        <f t="shared" ref="K3:K10" si="1">I3/(J3*G3)</f>
        <v>11999.999999999998</v>
      </c>
    </row>
    <row r="4" spans="1:11" x14ac:dyDescent="0.2">
      <c r="A4" t="s">
        <v>13</v>
      </c>
      <c r="B4">
        <v>0</v>
      </c>
      <c r="C4">
        <v>3</v>
      </c>
      <c r="D4">
        <v>1</v>
      </c>
      <c r="E4" s="1">
        <v>0.01</v>
      </c>
      <c r="F4">
        <v>80</v>
      </c>
      <c r="G4">
        <v>0.1</v>
      </c>
      <c r="H4" s="1">
        <f t="shared" si="0"/>
        <v>80000</v>
      </c>
      <c r="I4">
        <v>61</v>
      </c>
      <c r="J4" s="1">
        <v>0.1</v>
      </c>
      <c r="K4" s="1">
        <f t="shared" si="1"/>
        <v>6099.9999999999991</v>
      </c>
    </row>
    <row r="5" spans="1:11" x14ac:dyDescent="0.2">
      <c r="A5" t="s">
        <v>14</v>
      </c>
      <c r="B5">
        <v>2</v>
      </c>
      <c r="C5">
        <v>1</v>
      </c>
      <c r="D5">
        <v>1</v>
      </c>
      <c r="E5">
        <v>1</v>
      </c>
      <c r="F5">
        <v>228</v>
      </c>
      <c r="G5">
        <v>0.1</v>
      </c>
      <c r="H5" s="1">
        <f t="shared" si="0"/>
        <v>2280</v>
      </c>
      <c r="I5">
        <v>444</v>
      </c>
      <c r="J5" s="1">
        <v>0.1</v>
      </c>
      <c r="K5" s="1">
        <f t="shared" si="1"/>
        <v>44399.999999999993</v>
      </c>
    </row>
    <row r="6" spans="1:11" x14ac:dyDescent="0.2">
      <c r="A6" t="s">
        <v>15</v>
      </c>
      <c r="B6">
        <v>2</v>
      </c>
      <c r="C6">
        <v>2</v>
      </c>
      <c r="D6">
        <v>1</v>
      </c>
      <c r="E6">
        <v>1</v>
      </c>
      <c r="F6">
        <v>75</v>
      </c>
      <c r="G6">
        <v>0.1</v>
      </c>
      <c r="H6" s="1">
        <f t="shared" si="0"/>
        <v>750</v>
      </c>
      <c r="I6">
        <v>15</v>
      </c>
      <c r="J6" s="1">
        <v>1E-3</v>
      </c>
      <c r="K6" s="1">
        <f t="shared" si="1"/>
        <v>150000</v>
      </c>
    </row>
    <row r="7" spans="1:11" x14ac:dyDescent="0.2">
      <c r="A7" t="s">
        <v>16</v>
      </c>
      <c r="B7">
        <v>2</v>
      </c>
      <c r="C7">
        <v>3</v>
      </c>
      <c r="D7">
        <v>1</v>
      </c>
      <c r="E7">
        <v>1</v>
      </c>
      <c r="F7">
        <v>138</v>
      </c>
      <c r="G7">
        <v>0.1</v>
      </c>
      <c r="H7" s="1">
        <f t="shared" si="0"/>
        <v>1380</v>
      </c>
      <c r="I7">
        <v>516</v>
      </c>
      <c r="J7" s="1">
        <v>0.1</v>
      </c>
      <c r="K7" s="1">
        <f t="shared" si="1"/>
        <v>51599.999999999993</v>
      </c>
    </row>
    <row r="8" spans="1:11" x14ac:dyDescent="0.2">
      <c r="A8" t="s">
        <v>17</v>
      </c>
      <c r="B8">
        <v>4</v>
      </c>
      <c r="C8">
        <v>1</v>
      </c>
      <c r="D8">
        <v>1</v>
      </c>
      <c r="E8">
        <v>1</v>
      </c>
      <c r="F8">
        <v>21</v>
      </c>
      <c r="G8">
        <v>0.1</v>
      </c>
      <c r="H8" s="1">
        <f t="shared" si="0"/>
        <v>210</v>
      </c>
      <c r="I8">
        <v>9</v>
      </c>
      <c r="J8" s="1">
        <v>1E-3</v>
      </c>
      <c r="K8" s="1">
        <f t="shared" si="1"/>
        <v>90000</v>
      </c>
    </row>
    <row r="9" spans="1:11" x14ac:dyDescent="0.2">
      <c r="A9" t="s">
        <v>18</v>
      </c>
      <c r="B9">
        <v>4</v>
      </c>
      <c r="C9">
        <v>2</v>
      </c>
      <c r="D9">
        <v>1</v>
      </c>
      <c r="E9">
        <v>1</v>
      </c>
      <c r="F9">
        <v>12</v>
      </c>
      <c r="G9">
        <v>0.1</v>
      </c>
      <c r="H9" s="1">
        <f t="shared" si="0"/>
        <v>120</v>
      </c>
      <c r="I9">
        <v>516</v>
      </c>
      <c r="J9" s="1">
        <v>1E-3</v>
      </c>
      <c r="K9" s="1">
        <f t="shared" si="1"/>
        <v>5160000</v>
      </c>
    </row>
    <row r="10" spans="1:11" x14ac:dyDescent="0.2">
      <c r="A10" t="s">
        <v>19</v>
      </c>
      <c r="B10">
        <v>4</v>
      </c>
      <c r="C10">
        <v>3</v>
      </c>
      <c r="D10">
        <v>1</v>
      </c>
      <c r="E10">
        <v>1</v>
      </c>
      <c r="F10">
        <v>4</v>
      </c>
      <c r="G10">
        <v>0.1</v>
      </c>
      <c r="H10" s="1">
        <f t="shared" si="0"/>
        <v>40</v>
      </c>
      <c r="I10">
        <v>137</v>
      </c>
      <c r="J10" s="1">
        <v>1E-3</v>
      </c>
      <c r="K10" s="1">
        <f t="shared" si="1"/>
        <v>1370000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opt.entrap.data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O'Brien</dc:creator>
  <cp:lastModifiedBy>Joy O'Brien</cp:lastModifiedBy>
  <dcterms:created xsi:type="dcterms:W3CDTF">2026-04-24T04:56:04Z</dcterms:created>
  <dcterms:modified xsi:type="dcterms:W3CDTF">2026-04-24T05:17:50Z</dcterms:modified>
</cp:coreProperties>
</file>