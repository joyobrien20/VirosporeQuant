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joyobrien/GitHub/VirosporeQuant/Optimal.entrap/"/>
    </mc:Choice>
  </mc:AlternateContent>
  <xr:revisionPtr revIDLastSave="0" documentId="13_ncr:1_{F2644D4A-EF2B-EE4C-9596-12627BD626D2}" xr6:coauthVersionLast="47" xr6:coauthVersionMax="47" xr10:uidLastSave="{00000000-0000-0000-0000-000000000000}"/>
  <bookViews>
    <workbookView xWindow="0" yWindow="760" windowWidth="30240" windowHeight="17840" activeTab="4" xr2:uid="{A64D6EEE-6CF4-904F-B0B0-925EF099C968}"/>
  </bookViews>
  <sheets>
    <sheet name="raw.data" sheetId="1" r:id="rId1"/>
    <sheet name="raw.data.clean" sheetId="4" r:id="rId2"/>
    <sheet name="calculations" sheetId="3" r:id="rId3"/>
    <sheet name="flask_pilotsync" sheetId="5" r:id="rId4"/>
    <sheet name="flask_LBpassage_sync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6" l="1"/>
  <c r="M4" i="6"/>
  <c r="M5" i="6"/>
  <c r="M6" i="6"/>
  <c r="M7" i="6"/>
  <c r="M8" i="6"/>
  <c r="M9" i="6"/>
  <c r="M10" i="6"/>
  <c r="M11" i="6"/>
  <c r="M12" i="6"/>
  <c r="M13" i="6"/>
  <c r="M2" i="6"/>
  <c r="L3" i="6"/>
  <c r="L4" i="6"/>
  <c r="L5" i="6"/>
  <c r="L6" i="6"/>
  <c r="L7" i="6"/>
  <c r="L8" i="6"/>
  <c r="L9" i="6"/>
  <c r="L10" i="6"/>
  <c r="L11" i="6"/>
  <c r="L12" i="6"/>
  <c r="L13" i="6"/>
  <c r="L2" i="6"/>
  <c r="K9" i="6"/>
  <c r="K10" i="6"/>
  <c r="K11" i="6"/>
  <c r="K12" i="6"/>
  <c r="K13" i="6"/>
  <c r="K8" i="6"/>
  <c r="H9" i="6"/>
  <c r="H10" i="6"/>
  <c r="H11" i="6"/>
  <c r="H12" i="6"/>
  <c r="H13" i="6"/>
  <c r="H8" i="6"/>
  <c r="K3" i="6"/>
  <c r="K4" i="6"/>
  <c r="K6" i="6"/>
  <c r="K7" i="6"/>
  <c r="K2" i="6"/>
  <c r="H3" i="6"/>
  <c r="H4" i="6"/>
  <c r="H5" i="6"/>
  <c r="H6" i="6"/>
  <c r="H7" i="6"/>
  <c r="H2" i="6"/>
  <c r="K3" i="5"/>
  <c r="K4" i="5"/>
  <c r="K5" i="5"/>
  <c r="K6" i="5"/>
  <c r="K7" i="5"/>
  <c r="K8" i="5"/>
  <c r="K9" i="5"/>
  <c r="K10" i="5"/>
  <c r="K11" i="5"/>
  <c r="K12" i="5"/>
  <c r="K13" i="5"/>
  <c r="K2" i="5"/>
  <c r="H3" i="5"/>
  <c r="H4" i="5"/>
  <c r="H5" i="5"/>
  <c r="H6" i="5"/>
  <c r="H7" i="5"/>
  <c r="H8" i="5"/>
  <c r="H9" i="5"/>
  <c r="H10" i="5"/>
  <c r="H11" i="5"/>
  <c r="H12" i="5"/>
  <c r="H13" i="5"/>
  <c r="H2" i="5"/>
  <c r="K37" i="3"/>
  <c r="K36" i="3"/>
  <c r="K35" i="3"/>
  <c r="K34" i="3"/>
  <c r="K33" i="3"/>
  <c r="K32" i="3"/>
  <c r="K31" i="3"/>
  <c r="K30" i="3"/>
  <c r="K29" i="3"/>
  <c r="H29" i="3"/>
  <c r="H30" i="3"/>
  <c r="H31" i="3"/>
  <c r="H32" i="3"/>
  <c r="H33" i="3"/>
  <c r="H34" i="3"/>
  <c r="H35" i="3"/>
  <c r="H36" i="3"/>
  <c r="H37" i="3"/>
  <c r="K20" i="3"/>
  <c r="K21" i="3"/>
  <c r="K22" i="3"/>
  <c r="K23" i="3"/>
  <c r="K24" i="3"/>
  <c r="K25" i="3"/>
  <c r="K26" i="3"/>
  <c r="K27" i="3"/>
  <c r="K28" i="3"/>
  <c r="K14" i="3"/>
  <c r="K15" i="3"/>
  <c r="K16" i="3"/>
  <c r="K17" i="3"/>
  <c r="K18" i="3"/>
  <c r="K19" i="3"/>
  <c r="K5" i="3"/>
  <c r="K6" i="3"/>
  <c r="K7" i="3"/>
  <c r="K8" i="3"/>
  <c r="K9" i="3"/>
  <c r="K10" i="3"/>
  <c r="K3" i="3"/>
  <c r="K4" i="3"/>
  <c r="K2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8" i="3"/>
  <c r="H9" i="3"/>
  <c r="H10" i="3"/>
  <c r="H3" i="3"/>
  <c r="H4" i="3"/>
  <c r="H5" i="3"/>
  <c r="H6" i="3"/>
  <c r="H7" i="3"/>
  <c r="H2" i="3"/>
</calcChain>
</file>

<file path=xl/sharedStrings.xml><?xml version="1.0" encoding="utf-8"?>
<sst xmlns="http://schemas.openxmlformats.org/spreadsheetml/2006/main" count="454" uniqueCount="68">
  <si>
    <t>Sample</t>
  </si>
  <si>
    <t>Time (h)</t>
  </si>
  <si>
    <t>Replicate</t>
  </si>
  <si>
    <t>OD600</t>
  </si>
  <si>
    <t>Dilution</t>
  </si>
  <si>
    <t>veg.colonies</t>
  </si>
  <si>
    <t>veg.colonies.dilution.-4</t>
  </si>
  <si>
    <t>veg.colonies.dilution.-5</t>
  </si>
  <si>
    <t>veg.colonies.dilution.-6</t>
  </si>
  <si>
    <t>veg.colonies.dilution.-7</t>
  </si>
  <si>
    <t>veg.colonies.dilution.-8</t>
  </si>
  <si>
    <t>spore.colonies.dilution.-1</t>
  </si>
  <si>
    <t>spores.colonies.dilution.-2</t>
  </si>
  <si>
    <t>spore.colonies.dilution.-3</t>
  </si>
  <si>
    <t>spore.colonies.dilution.-5</t>
  </si>
  <si>
    <t>T0R1</t>
  </si>
  <si>
    <t>TMTC</t>
  </si>
  <si>
    <t>NA</t>
  </si>
  <si>
    <t>T0R2</t>
  </si>
  <si>
    <t>T0R3</t>
  </si>
  <si>
    <t>T1R1</t>
  </si>
  <si>
    <t>TMTC/NA</t>
  </si>
  <si>
    <t>T1R2</t>
  </si>
  <si>
    <t>T1R3</t>
  </si>
  <si>
    <t>T2R1</t>
  </si>
  <si>
    <t>T2R2</t>
  </si>
  <si>
    <t>T2R3</t>
  </si>
  <si>
    <t>T3R1</t>
  </si>
  <si>
    <t>T3R2</t>
  </si>
  <si>
    <t>T3R3</t>
  </si>
  <si>
    <t>T4R1</t>
  </si>
  <si>
    <t>T4R2</t>
  </si>
  <si>
    <t>T4R3</t>
  </si>
  <si>
    <t>T5R1</t>
  </si>
  <si>
    <t>T5R2</t>
  </si>
  <si>
    <t>T5R3</t>
  </si>
  <si>
    <t>T6R1</t>
  </si>
  <si>
    <t>T6R2</t>
  </si>
  <si>
    <t>T6R3</t>
  </si>
  <si>
    <t>T7R1</t>
  </si>
  <si>
    <t>T7R2</t>
  </si>
  <si>
    <t>T7R3</t>
  </si>
  <si>
    <t>T8R1</t>
  </si>
  <si>
    <t>T8R2</t>
  </si>
  <si>
    <t>T8R3</t>
  </si>
  <si>
    <t>veg.dilution</t>
  </si>
  <si>
    <t>spore.dilution</t>
  </si>
  <si>
    <t>spore.colonies</t>
  </si>
  <si>
    <t>volume.ml</t>
  </si>
  <si>
    <t>veg.cells.ml</t>
  </si>
  <si>
    <t>spores.ml</t>
  </si>
  <si>
    <t>T10R1</t>
  </si>
  <si>
    <t>T10R2</t>
  </si>
  <si>
    <t>T10R3</t>
  </si>
  <si>
    <t>T12R1</t>
  </si>
  <si>
    <t>T12R2</t>
  </si>
  <si>
    <t>T12R3</t>
  </si>
  <si>
    <t>T14R1</t>
  </si>
  <si>
    <t>T14R2</t>
  </si>
  <si>
    <t>T14R3</t>
  </si>
  <si>
    <t>T17R1</t>
  </si>
  <si>
    <t>T17R2</t>
  </si>
  <si>
    <t>T17R3</t>
  </si>
  <si>
    <t>T19R1</t>
  </si>
  <si>
    <t>T19R2</t>
  </si>
  <si>
    <t>T19R3</t>
  </si>
  <si>
    <t>total.cells</t>
  </si>
  <si>
    <t>corr.veg.cells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</si>
</sst>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0" fontId="2" fillId="0" borderId="0" xfId="0" applyFont="1"/>
    <xf numFmtId="0" fontId="3" fillId="0" borderId="0" xfId="0" applyFont="1"/>
    <xf numFmtId="11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EE5AB-2C1F-2045-AD7F-BF62873B3E73}">
  <dimension ref="A1:O37"/>
  <sheetViews>
    <sheetView workbookViewId="0">
      <selection activeCell="A19" sqref="A19:D22"/>
    </sheetView>
  </sheetViews>
  <sheetFormatPr baseColWidth="10" defaultColWidth="11" defaultRowHeight="16" x14ac:dyDescent="0.2"/>
  <cols>
    <col min="6" max="6" width="22.6640625" customWidth="1"/>
    <col min="7" max="7" width="22.1640625" customWidth="1"/>
    <col min="8" max="14" width="22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>
        <v>0</v>
      </c>
      <c r="C2">
        <v>1</v>
      </c>
      <c r="D2">
        <v>0.29099999999999998</v>
      </c>
      <c r="E2" s="1">
        <v>0.1</v>
      </c>
      <c r="F2" t="s">
        <v>16</v>
      </c>
      <c r="G2" t="s">
        <v>17</v>
      </c>
      <c r="H2">
        <v>7</v>
      </c>
      <c r="I2" t="s">
        <v>17</v>
      </c>
      <c r="L2">
        <v>110</v>
      </c>
      <c r="M2" t="s">
        <v>17</v>
      </c>
      <c r="N2">
        <v>1</v>
      </c>
      <c r="O2">
        <v>0</v>
      </c>
    </row>
    <row r="3" spans="1:15" x14ac:dyDescent="0.2">
      <c r="A3" t="s">
        <v>18</v>
      </c>
      <c r="B3">
        <v>0</v>
      </c>
      <c r="C3">
        <v>2</v>
      </c>
      <c r="D3">
        <v>0.33400000000000002</v>
      </c>
      <c r="E3" s="1">
        <v>0.1</v>
      </c>
      <c r="F3" t="s">
        <v>16</v>
      </c>
      <c r="G3" t="s">
        <v>17</v>
      </c>
      <c r="H3">
        <v>10</v>
      </c>
      <c r="I3" t="s">
        <v>17</v>
      </c>
      <c r="L3">
        <v>121</v>
      </c>
      <c r="M3" t="s">
        <v>17</v>
      </c>
      <c r="N3">
        <v>0</v>
      </c>
      <c r="O3">
        <v>0</v>
      </c>
    </row>
    <row r="4" spans="1:15" x14ac:dyDescent="0.2">
      <c r="A4" t="s">
        <v>19</v>
      </c>
      <c r="B4">
        <v>0</v>
      </c>
      <c r="C4">
        <v>3</v>
      </c>
      <c r="D4">
        <v>0.32700000000000001</v>
      </c>
      <c r="E4" s="1">
        <v>0.1</v>
      </c>
      <c r="F4" t="s">
        <v>16</v>
      </c>
      <c r="G4" t="s">
        <v>17</v>
      </c>
      <c r="H4">
        <v>10</v>
      </c>
      <c r="I4" t="s">
        <v>17</v>
      </c>
      <c r="L4">
        <v>118</v>
      </c>
      <c r="M4" t="s">
        <v>17</v>
      </c>
      <c r="N4">
        <v>0</v>
      </c>
      <c r="O4">
        <v>0</v>
      </c>
    </row>
    <row r="5" spans="1:15" x14ac:dyDescent="0.2">
      <c r="A5" t="s">
        <v>20</v>
      </c>
      <c r="B5">
        <v>1</v>
      </c>
      <c r="C5">
        <v>1</v>
      </c>
      <c r="D5">
        <v>0.49099999999999999</v>
      </c>
      <c r="E5" s="1">
        <v>0.1</v>
      </c>
      <c r="F5" t="s">
        <v>21</v>
      </c>
      <c r="G5" t="s">
        <v>17</v>
      </c>
      <c r="H5">
        <v>4</v>
      </c>
      <c r="I5" t="s">
        <v>17</v>
      </c>
      <c r="L5" t="s">
        <v>17</v>
      </c>
      <c r="M5" t="s">
        <v>17</v>
      </c>
      <c r="N5">
        <v>4</v>
      </c>
      <c r="O5">
        <v>0</v>
      </c>
    </row>
    <row r="6" spans="1:15" x14ac:dyDescent="0.2">
      <c r="A6" t="s">
        <v>22</v>
      </c>
      <c r="B6">
        <v>1</v>
      </c>
      <c r="C6">
        <v>2</v>
      </c>
      <c r="D6">
        <v>0.63</v>
      </c>
      <c r="E6" s="1">
        <v>0.1</v>
      </c>
      <c r="F6" t="s">
        <v>21</v>
      </c>
      <c r="G6" t="s">
        <v>17</v>
      </c>
      <c r="H6">
        <v>17</v>
      </c>
      <c r="I6" t="s">
        <v>17</v>
      </c>
      <c r="L6" t="s">
        <v>17</v>
      </c>
      <c r="M6" t="s">
        <v>17</v>
      </c>
      <c r="N6">
        <v>0</v>
      </c>
      <c r="O6">
        <v>0</v>
      </c>
    </row>
    <row r="7" spans="1:15" x14ac:dyDescent="0.2">
      <c r="A7" t="s">
        <v>23</v>
      </c>
      <c r="B7">
        <v>1</v>
      </c>
      <c r="C7">
        <v>3</v>
      </c>
      <c r="D7">
        <v>0.48799999999999999</v>
      </c>
      <c r="E7" s="1">
        <v>0.1</v>
      </c>
      <c r="F7" t="s">
        <v>21</v>
      </c>
      <c r="G7" t="s">
        <v>17</v>
      </c>
      <c r="H7">
        <v>4</v>
      </c>
      <c r="I7" t="s">
        <v>17</v>
      </c>
      <c r="L7" t="s">
        <v>17</v>
      </c>
      <c r="M7" t="s">
        <v>17</v>
      </c>
      <c r="N7">
        <v>2</v>
      </c>
      <c r="O7">
        <v>0</v>
      </c>
    </row>
    <row r="8" spans="1:15" x14ac:dyDescent="0.2">
      <c r="A8" t="s">
        <v>24</v>
      </c>
      <c r="B8">
        <v>2</v>
      </c>
      <c r="C8">
        <v>1</v>
      </c>
      <c r="D8">
        <v>0.76900000000000002</v>
      </c>
      <c r="E8" s="1">
        <v>0.1</v>
      </c>
      <c r="F8" t="s">
        <v>21</v>
      </c>
      <c r="G8" t="s">
        <v>17</v>
      </c>
      <c r="H8">
        <v>35</v>
      </c>
      <c r="I8" t="s">
        <v>17</v>
      </c>
      <c r="L8" t="s">
        <v>17</v>
      </c>
      <c r="M8" t="s">
        <v>17</v>
      </c>
      <c r="N8">
        <v>2</v>
      </c>
      <c r="O8">
        <v>0</v>
      </c>
    </row>
    <row r="9" spans="1:15" x14ac:dyDescent="0.2">
      <c r="A9" t="s">
        <v>25</v>
      </c>
      <c r="B9">
        <v>2</v>
      </c>
      <c r="C9">
        <v>2</v>
      </c>
      <c r="D9">
        <v>0.76800000000000002</v>
      </c>
      <c r="E9" s="1">
        <v>0.1</v>
      </c>
      <c r="F9" t="s">
        <v>21</v>
      </c>
      <c r="G9" t="s">
        <v>17</v>
      </c>
      <c r="H9">
        <v>53</v>
      </c>
      <c r="I9" t="s">
        <v>17</v>
      </c>
      <c r="L9" t="s">
        <v>17</v>
      </c>
      <c r="M9" t="s">
        <v>17</v>
      </c>
      <c r="N9">
        <v>3</v>
      </c>
      <c r="O9">
        <v>0</v>
      </c>
    </row>
    <row r="10" spans="1:15" x14ac:dyDescent="0.2">
      <c r="A10" t="s">
        <v>26</v>
      </c>
      <c r="B10">
        <v>2</v>
      </c>
      <c r="C10">
        <v>3</v>
      </c>
      <c r="D10">
        <v>0.77400000000000002</v>
      </c>
      <c r="E10" s="1">
        <v>0.1</v>
      </c>
      <c r="F10" t="s">
        <v>21</v>
      </c>
      <c r="G10" t="s">
        <v>17</v>
      </c>
      <c r="H10">
        <v>38</v>
      </c>
      <c r="I10" t="s">
        <v>17</v>
      </c>
      <c r="L10" t="s">
        <v>17</v>
      </c>
      <c r="M10" t="s">
        <v>17</v>
      </c>
      <c r="N10">
        <v>2</v>
      </c>
      <c r="O10">
        <v>0</v>
      </c>
    </row>
    <row r="11" spans="1:15" x14ac:dyDescent="0.2">
      <c r="A11" t="s">
        <v>27</v>
      </c>
      <c r="B11">
        <v>3</v>
      </c>
      <c r="C11">
        <v>1</v>
      </c>
      <c r="D11">
        <v>1.004</v>
      </c>
      <c r="E11" s="1">
        <v>0.1</v>
      </c>
      <c r="F11" t="s">
        <v>21</v>
      </c>
      <c r="G11">
        <v>613</v>
      </c>
      <c r="H11" t="s">
        <v>17</v>
      </c>
      <c r="I11">
        <v>20</v>
      </c>
      <c r="M11" t="s">
        <v>17</v>
      </c>
    </row>
    <row r="12" spans="1:15" x14ac:dyDescent="0.2">
      <c r="A12" t="s">
        <v>28</v>
      </c>
      <c r="B12">
        <v>3</v>
      </c>
      <c r="C12">
        <v>2</v>
      </c>
      <c r="D12">
        <v>0.92500000000000004</v>
      </c>
      <c r="E12" s="1">
        <v>0.1</v>
      </c>
      <c r="F12" t="s">
        <v>21</v>
      </c>
      <c r="G12">
        <v>569</v>
      </c>
      <c r="I12">
        <v>23</v>
      </c>
      <c r="M12" t="s">
        <v>17</v>
      </c>
    </row>
    <row r="13" spans="1:15" x14ac:dyDescent="0.2">
      <c r="A13" t="s">
        <v>29</v>
      </c>
      <c r="B13">
        <v>3</v>
      </c>
      <c r="C13">
        <v>3</v>
      </c>
      <c r="D13">
        <v>0.78800000000000003</v>
      </c>
      <c r="E13" s="1">
        <v>0.1</v>
      </c>
      <c r="F13" t="s">
        <v>21</v>
      </c>
      <c r="G13">
        <v>562</v>
      </c>
      <c r="I13">
        <v>8</v>
      </c>
      <c r="M13" t="s">
        <v>17</v>
      </c>
    </row>
    <row r="14" spans="1:15" x14ac:dyDescent="0.2">
      <c r="A14" t="s">
        <v>30</v>
      </c>
      <c r="B14">
        <v>4</v>
      </c>
      <c r="C14">
        <v>1</v>
      </c>
      <c r="D14">
        <v>1.1539999999999999</v>
      </c>
      <c r="E14" s="1">
        <v>0.1</v>
      </c>
      <c r="F14" t="s">
        <v>21</v>
      </c>
      <c r="G14" t="s">
        <v>16</v>
      </c>
      <c r="I14">
        <v>32</v>
      </c>
      <c r="M14">
        <v>11</v>
      </c>
    </row>
    <row r="15" spans="1:15" x14ac:dyDescent="0.2">
      <c r="A15" t="s">
        <v>31</v>
      </c>
      <c r="B15">
        <v>4</v>
      </c>
      <c r="C15">
        <v>2</v>
      </c>
      <c r="D15">
        <v>1.2989999999999999</v>
      </c>
      <c r="E15" s="1">
        <v>0.1</v>
      </c>
      <c r="F15" t="s">
        <v>21</v>
      </c>
      <c r="G15" t="s">
        <v>16</v>
      </c>
      <c r="I15">
        <v>40</v>
      </c>
      <c r="M15">
        <v>16</v>
      </c>
    </row>
    <row r="16" spans="1:15" x14ac:dyDescent="0.2">
      <c r="A16" t="s">
        <v>32</v>
      </c>
      <c r="B16">
        <v>4</v>
      </c>
      <c r="C16">
        <v>3</v>
      </c>
      <c r="D16">
        <v>1.075</v>
      </c>
      <c r="E16" s="1">
        <v>0.1</v>
      </c>
      <c r="F16" t="s">
        <v>21</v>
      </c>
      <c r="G16" t="s">
        <v>16</v>
      </c>
      <c r="I16">
        <v>27</v>
      </c>
      <c r="M16">
        <v>19</v>
      </c>
    </row>
    <row r="17" spans="1:15" x14ac:dyDescent="0.2">
      <c r="A17" t="s">
        <v>33</v>
      </c>
      <c r="B17">
        <v>5</v>
      </c>
      <c r="C17">
        <v>1</v>
      </c>
      <c r="D17">
        <v>1.3680000000000001</v>
      </c>
      <c r="E17" s="1">
        <v>0.1</v>
      </c>
      <c r="F17" t="s">
        <v>21</v>
      </c>
      <c r="I17">
        <v>26</v>
      </c>
      <c r="J17">
        <v>1</v>
      </c>
      <c r="L17">
        <v>195</v>
      </c>
      <c r="M17" t="s">
        <v>17</v>
      </c>
      <c r="N17">
        <v>6</v>
      </c>
      <c r="O17">
        <v>0</v>
      </c>
    </row>
    <row r="18" spans="1:15" x14ac:dyDescent="0.2">
      <c r="A18" t="s">
        <v>34</v>
      </c>
      <c r="B18">
        <v>5</v>
      </c>
      <c r="C18">
        <v>2</v>
      </c>
      <c r="D18">
        <v>1.3480000000000001</v>
      </c>
      <c r="E18" s="1">
        <v>0.1</v>
      </c>
      <c r="F18" t="s">
        <v>21</v>
      </c>
      <c r="I18">
        <v>28</v>
      </c>
      <c r="J18">
        <v>3</v>
      </c>
      <c r="L18">
        <v>190</v>
      </c>
      <c r="M18" t="s">
        <v>17</v>
      </c>
      <c r="N18">
        <v>2</v>
      </c>
    </row>
    <row r="19" spans="1:15" x14ac:dyDescent="0.2">
      <c r="A19" t="s">
        <v>35</v>
      </c>
      <c r="B19">
        <v>5</v>
      </c>
      <c r="C19">
        <v>3</v>
      </c>
      <c r="D19">
        <v>1.49</v>
      </c>
      <c r="E19" s="1">
        <v>0.1</v>
      </c>
      <c r="F19" t="s">
        <v>21</v>
      </c>
      <c r="I19">
        <v>35</v>
      </c>
      <c r="J19">
        <v>2</v>
      </c>
      <c r="L19">
        <v>234</v>
      </c>
      <c r="M19" t="s">
        <v>17</v>
      </c>
      <c r="N19">
        <v>0</v>
      </c>
      <c r="O19">
        <v>0</v>
      </c>
    </row>
    <row r="20" spans="1:15" x14ac:dyDescent="0.2">
      <c r="A20" t="s">
        <v>36</v>
      </c>
      <c r="B20">
        <v>6</v>
      </c>
      <c r="C20">
        <v>1</v>
      </c>
      <c r="D20">
        <v>1.659</v>
      </c>
      <c r="E20" s="1">
        <v>0.1</v>
      </c>
      <c r="F20" t="s">
        <v>21</v>
      </c>
      <c r="I20">
        <v>8</v>
      </c>
      <c r="J20">
        <v>2</v>
      </c>
      <c r="N20">
        <v>0</v>
      </c>
      <c r="O20">
        <v>0</v>
      </c>
    </row>
    <row r="21" spans="1:15" x14ac:dyDescent="0.2">
      <c r="A21" t="s">
        <v>37</v>
      </c>
      <c r="B21">
        <v>6</v>
      </c>
      <c r="C21">
        <v>2</v>
      </c>
      <c r="D21">
        <v>1.6060000000000001</v>
      </c>
      <c r="E21" s="1">
        <v>0.1</v>
      </c>
      <c r="F21" t="s">
        <v>21</v>
      </c>
      <c r="I21">
        <v>15</v>
      </c>
      <c r="J21">
        <v>2</v>
      </c>
      <c r="N21">
        <v>4</v>
      </c>
      <c r="O21">
        <v>0</v>
      </c>
    </row>
    <row r="22" spans="1:15" x14ac:dyDescent="0.2">
      <c r="A22" t="s">
        <v>38</v>
      </c>
      <c r="B22">
        <v>6</v>
      </c>
      <c r="C22">
        <v>3</v>
      </c>
      <c r="D22">
        <v>1.5620000000000001</v>
      </c>
      <c r="E22" s="1">
        <v>0.1</v>
      </c>
      <c r="F22" t="s">
        <v>21</v>
      </c>
      <c r="I22">
        <v>19</v>
      </c>
      <c r="J22">
        <v>1</v>
      </c>
      <c r="N22">
        <v>1</v>
      </c>
      <c r="O22">
        <v>0</v>
      </c>
    </row>
    <row r="23" spans="1:15" x14ac:dyDescent="0.2">
      <c r="A23" t="s">
        <v>39</v>
      </c>
      <c r="B23">
        <v>7</v>
      </c>
      <c r="C23">
        <v>1</v>
      </c>
      <c r="D23">
        <v>1.702</v>
      </c>
      <c r="E23" s="1">
        <v>0.1</v>
      </c>
      <c r="F23" t="s">
        <v>21</v>
      </c>
      <c r="I23">
        <v>11</v>
      </c>
      <c r="K23">
        <v>0</v>
      </c>
      <c r="M23">
        <v>23</v>
      </c>
    </row>
    <row r="24" spans="1:15" x14ac:dyDescent="0.2">
      <c r="A24" t="s">
        <v>40</v>
      </c>
      <c r="B24">
        <v>7</v>
      </c>
      <c r="C24">
        <v>2</v>
      </c>
      <c r="D24">
        <v>1.742</v>
      </c>
      <c r="E24" s="1">
        <v>0.1</v>
      </c>
      <c r="F24" t="s">
        <v>21</v>
      </c>
      <c r="K24">
        <v>12</v>
      </c>
      <c r="M24">
        <v>7</v>
      </c>
    </row>
    <row r="25" spans="1:15" x14ac:dyDescent="0.2">
      <c r="A25" t="s">
        <v>41</v>
      </c>
      <c r="B25">
        <v>7</v>
      </c>
      <c r="C25">
        <v>3</v>
      </c>
      <c r="D25">
        <v>1.34</v>
      </c>
      <c r="E25" s="1">
        <v>0.1</v>
      </c>
      <c r="F25" t="s">
        <v>21</v>
      </c>
      <c r="I25">
        <v>12</v>
      </c>
      <c r="M25">
        <v>15</v>
      </c>
    </row>
    <row r="26" spans="1:15" x14ac:dyDescent="0.2">
      <c r="A26" t="s">
        <v>42</v>
      </c>
      <c r="B26">
        <v>8</v>
      </c>
      <c r="C26">
        <v>1</v>
      </c>
      <c r="D26">
        <v>1.4970000000000001</v>
      </c>
      <c r="E26" s="1">
        <v>0.1</v>
      </c>
      <c r="F26" t="s">
        <v>21</v>
      </c>
      <c r="I26">
        <v>23</v>
      </c>
      <c r="K26">
        <v>1</v>
      </c>
      <c r="M26">
        <v>18</v>
      </c>
    </row>
    <row r="27" spans="1:15" x14ac:dyDescent="0.2">
      <c r="A27" t="s">
        <v>43</v>
      </c>
      <c r="B27">
        <v>8</v>
      </c>
      <c r="C27">
        <v>2</v>
      </c>
      <c r="D27">
        <v>1.4370000000000001</v>
      </c>
      <c r="E27" s="1">
        <v>0.1</v>
      </c>
      <c r="F27" t="s">
        <v>21</v>
      </c>
      <c r="I27">
        <v>36</v>
      </c>
      <c r="M27">
        <v>7</v>
      </c>
    </row>
    <row r="28" spans="1:15" x14ac:dyDescent="0.2">
      <c r="A28" t="s">
        <v>44</v>
      </c>
      <c r="B28">
        <v>8</v>
      </c>
      <c r="C28">
        <v>3</v>
      </c>
      <c r="D28">
        <v>1.37</v>
      </c>
      <c r="E28" s="1">
        <v>0.1</v>
      </c>
      <c r="F28" t="s">
        <v>21</v>
      </c>
      <c r="I28">
        <v>33</v>
      </c>
      <c r="M28">
        <v>6</v>
      </c>
    </row>
    <row r="29" spans="1:15" x14ac:dyDescent="0.2">
      <c r="A29" t="s">
        <v>15</v>
      </c>
      <c r="B29">
        <v>0</v>
      </c>
      <c r="C29">
        <v>1</v>
      </c>
      <c r="D29">
        <v>0.29099999999999998</v>
      </c>
      <c r="E29" s="1">
        <v>1E-3</v>
      </c>
      <c r="F29">
        <v>265</v>
      </c>
    </row>
    <row r="30" spans="1:15" x14ac:dyDescent="0.2">
      <c r="A30" t="s">
        <v>18</v>
      </c>
      <c r="B30">
        <v>0</v>
      </c>
      <c r="C30">
        <v>2</v>
      </c>
      <c r="D30">
        <v>0.33400000000000002</v>
      </c>
      <c r="E30" s="1">
        <v>1E-3</v>
      </c>
      <c r="F30">
        <v>313</v>
      </c>
    </row>
    <row r="31" spans="1:15" x14ac:dyDescent="0.2">
      <c r="A31" t="s">
        <v>19</v>
      </c>
      <c r="B31">
        <v>0</v>
      </c>
      <c r="C31">
        <v>3</v>
      </c>
      <c r="D31">
        <v>0.32700000000000001</v>
      </c>
      <c r="E31" s="1">
        <v>1E-3</v>
      </c>
      <c r="F31">
        <v>379</v>
      </c>
    </row>
    <row r="32" spans="1:15" x14ac:dyDescent="0.2">
      <c r="A32" t="s">
        <v>20</v>
      </c>
      <c r="B32">
        <v>1</v>
      </c>
      <c r="C32">
        <v>1</v>
      </c>
      <c r="D32">
        <v>0.49099999999999999</v>
      </c>
      <c r="E32" s="1">
        <v>1E-3</v>
      </c>
      <c r="F32">
        <v>395</v>
      </c>
    </row>
    <row r="33" spans="1:6" x14ac:dyDescent="0.2">
      <c r="A33" t="s">
        <v>22</v>
      </c>
      <c r="B33">
        <v>1</v>
      </c>
      <c r="C33">
        <v>2</v>
      </c>
      <c r="D33">
        <v>0.63</v>
      </c>
      <c r="E33" s="1">
        <v>1E-3</v>
      </c>
      <c r="F33">
        <v>426</v>
      </c>
    </row>
    <row r="34" spans="1:6" x14ac:dyDescent="0.2">
      <c r="A34" t="s">
        <v>23</v>
      </c>
      <c r="B34">
        <v>1</v>
      </c>
      <c r="C34">
        <v>3</v>
      </c>
      <c r="D34">
        <v>0.48799999999999999</v>
      </c>
      <c r="E34" s="1">
        <v>1E-3</v>
      </c>
      <c r="F34">
        <v>500</v>
      </c>
    </row>
    <row r="35" spans="1:6" x14ac:dyDescent="0.2">
      <c r="A35" t="s">
        <v>24</v>
      </c>
      <c r="B35">
        <v>2</v>
      </c>
      <c r="C35">
        <v>1</v>
      </c>
      <c r="D35">
        <v>0.76900000000000002</v>
      </c>
      <c r="E35" s="1">
        <v>1E-3</v>
      </c>
      <c r="F35" t="s">
        <v>16</v>
      </c>
    </row>
    <row r="36" spans="1:6" x14ac:dyDescent="0.2">
      <c r="A36" t="s">
        <v>25</v>
      </c>
      <c r="B36">
        <v>2</v>
      </c>
      <c r="C36">
        <v>2</v>
      </c>
      <c r="D36">
        <v>0.76800000000000002</v>
      </c>
      <c r="E36" s="1">
        <v>1E-3</v>
      </c>
      <c r="F36" t="s">
        <v>16</v>
      </c>
    </row>
    <row r="37" spans="1:6" x14ac:dyDescent="0.2">
      <c r="A37" t="s">
        <v>26</v>
      </c>
      <c r="B37">
        <v>2</v>
      </c>
      <c r="C37">
        <v>3</v>
      </c>
      <c r="D37">
        <v>0.77400000000000002</v>
      </c>
      <c r="E37" s="1">
        <v>1E-3</v>
      </c>
      <c r="F37" t="s">
        <v>16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98C5C-EABF-FB47-BC9A-2C8D21EADC36}">
  <dimension ref="A1:H153"/>
  <sheetViews>
    <sheetView zoomScale="150" workbookViewId="0">
      <pane ySplit="1" topLeftCell="A37" activePane="bottomLeft" state="frozen"/>
      <selection pane="bottomLeft" activeCell="A150" sqref="A150:D153"/>
    </sheetView>
  </sheetViews>
  <sheetFormatPr baseColWidth="10" defaultColWidth="11" defaultRowHeight="16" x14ac:dyDescent="0.2"/>
  <cols>
    <col min="7" max="7" width="14" customWidth="1"/>
    <col min="8" max="8" width="14.332031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45</v>
      </c>
      <c r="F1" t="s">
        <v>5</v>
      </c>
      <c r="G1" t="s">
        <v>46</v>
      </c>
      <c r="H1" t="s">
        <v>47</v>
      </c>
    </row>
    <row r="2" spans="1:8" x14ac:dyDescent="0.2">
      <c r="A2" t="s">
        <v>15</v>
      </c>
      <c r="B2">
        <v>0</v>
      </c>
      <c r="C2">
        <v>1</v>
      </c>
      <c r="D2">
        <v>0.29099999999999998</v>
      </c>
      <c r="E2" s="1">
        <v>0.1</v>
      </c>
      <c r="F2" t="s">
        <v>16</v>
      </c>
      <c r="G2" s="1">
        <v>0.1</v>
      </c>
      <c r="H2">
        <v>110</v>
      </c>
    </row>
    <row r="3" spans="1:8" x14ac:dyDescent="0.2">
      <c r="A3" t="s">
        <v>18</v>
      </c>
      <c r="B3">
        <v>0</v>
      </c>
      <c r="C3">
        <v>2</v>
      </c>
      <c r="D3">
        <v>0.33400000000000002</v>
      </c>
      <c r="E3" s="1">
        <v>0.1</v>
      </c>
      <c r="F3" t="s">
        <v>16</v>
      </c>
      <c r="G3" s="1">
        <v>0.1</v>
      </c>
      <c r="H3">
        <v>121</v>
      </c>
    </row>
    <row r="4" spans="1:8" x14ac:dyDescent="0.2">
      <c r="A4" t="s">
        <v>19</v>
      </c>
      <c r="B4">
        <v>0</v>
      </c>
      <c r="C4">
        <v>3</v>
      </c>
      <c r="D4">
        <v>0.32700000000000001</v>
      </c>
      <c r="E4" s="1">
        <v>0.1</v>
      </c>
      <c r="F4" t="s">
        <v>16</v>
      </c>
      <c r="G4" s="1">
        <v>0.1</v>
      </c>
      <c r="H4">
        <v>118</v>
      </c>
    </row>
    <row r="5" spans="1:8" x14ac:dyDescent="0.2">
      <c r="A5" t="s">
        <v>20</v>
      </c>
      <c r="B5">
        <v>1</v>
      </c>
      <c r="C5">
        <v>1</v>
      </c>
      <c r="D5">
        <v>0.49099999999999999</v>
      </c>
      <c r="E5" s="1">
        <v>0.1</v>
      </c>
      <c r="F5" t="s">
        <v>21</v>
      </c>
      <c r="G5" s="1">
        <v>0.1</v>
      </c>
      <c r="H5" t="s">
        <v>17</v>
      </c>
    </row>
    <row r="6" spans="1:8" x14ac:dyDescent="0.2">
      <c r="A6" t="s">
        <v>22</v>
      </c>
      <c r="B6">
        <v>1</v>
      </c>
      <c r="C6">
        <v>2</v>
      </c>
      <c r="D6">
        <v>0.63</v>
      </c>
      <c r="E6" s="1">
        <v>0.1</v>
      </c>
      <c r="F6" t="s">
        <v>21</v>
      </c>
      <c r="G6" s="1">
        <v>0.1</v>
      </c>
      <c r="H6" t="s">
        <v>17</v>
      </c>
    </row>
    <row r="7" spans="1:8" x14ac:dyDescent="0.2">
      <c r="A7" t="s">
        <v>23</v>
      </c>
      <c r="B7">
        <v>1</v>
      </c>
      <c r="C7">
        <v>3</v>
      </c>
      <c r="D7">
        <v>0.48799999999999999</v>
      </c>
      <c r="E7" s="1">
        <v>0.1</v>
      </c>
      <c r="F7" t="s">
        <v>21</v>
      </c>
      <c r="G7" s="1">
        <v>0.1</v>
      </c>
      <c r="H7" t="s">
        <v>17</v>
      </c>
    </row>
    <row r="8" spans="1:8" x14ac:dyDescent="0.2">
      <c r="A8" t="s">
        <v>24</v>
      </c>
      <c r="B8">
        <v>2</v>
      </c>
      <c r="C8">
        <v>1</v>
      </c>
      <c r="D8">
        <v>0.76900000000000002</v>
      </c>
      <c r="E8" s="1">
        <v>0.1</v>
      </c>
      <c r="F8" t="s">
        <v>21</v>
      </c>
      <c r="G8" s="1">
        <v>0.1</v>
      </c>
      <c r="H8" t="s">
        <v>17</v>
      </c>
    </row>
    <row r="9" spans="1:8" x14ac:dyDescent="0.2">
      <c r="A9" t="s">
        <v>25</v>
      </c>
      <c r="B9">
        <v>2</v>
      </c>
      <c r="C9">
        <v>2</v>
      </c>
      <c r="D9">
        <v>0.76800000000000002</v>
      </c>
      <c r="E9" s="1">
        <v>0.1</v>
      </c>
      <c r="F9" t="s">
        <v>21</v>
      </c>
      <c r="G9" s="1">
        <v>0.1</v>
      </c>
      <c r="H9" t="s">
        <v>17</v>
      </c>
    </row>
    <row r="10" spans="1:8" x14ac:dyDescent="0.2">
      <c r="A10" t="s">
        <v>26</v>
      </c>
      <c r="B10">
        <v>2</v>
      </c>
      <c r="C10">
        <v>3</v>
      </c>
      <c r="D10">
        <v>0.77400000000000002</v>
      </c>
      <c r="E10" s="1">
        <v>0.1</v>
      </c>
      <c r="F10" t="s">
        <v>21</v>
      </c>
      <c r="G10" s="1">
        <v>0.1</v>
      </c>
      <c r="H10" t="s">
        <v>17</v>
      </c>
    </row>
    <row r="11" spans="1:8" x14ac:dyDescent="0.2">
      <c r="A11" t="s">
        <v>27</v>
      </c>
      <c r="B11">
        <v>3</v>
      </c>
      <c r="C11">
        <v>1</v>
      </c>
      <c r="D11">
        <v>1.004</v>
      </c>
      <c r="E11" s="1">
        <v>0.1</v>
      </c>
      <c r="F11" t="s">
        <v>21</v>
      </c>
    </row>
    <row r="12" spans="1:8" x14ac:dyDescent="0.2">
      <c r="A12" t="s">
        <v>28</v>
      </c>
      <c r="B12">
        <v>3</v>
      </c>
      <c r="C12">
        <v>2</v>
      </c>
      <c r="D12">
        <v>0.92500000000000004</v>
      </c>
      <c r="E12" s="1">
        <v>0.1</v>
      </c>
      <c r="F12" t="s">
        <v>21</v>
      </c>
    </row>
    <row r="13" spans="1:8" x14ac:dyDescent="0.2">
      <c r="A13" t="s">
        <v>29</v>
      </c>
      <c r="B13">
        <v>3</v>
      </c>
      <c r="C13">
        <v>3</v>
      </c>
      <c r="D13">
        <v>0.78800000000000003</v>
      </c>
      <c r="E13" s="1">
        <v>0.1</v>
      </c>
      <c r="F13" t="s">
        <v>21</v>
      </c>
    </row>
    <row r="14" spans="1:8" x14ac:dyDescent="0.2">
      <c r="A14" t="s">
        <v>30</v>
      </c>
      <c r="B14">
        <v>4</v>
      </c>
      <c r="C14">
        <v>1</v>
      </c>
      <c r="D14">
        <v>1.1539999999999999</v>
      </c>
      <c r="E14" s="1">
        <v>0.1</v>
      </c>
      <c r="F14" t="s">
        <v>21</v>
      </c>
    </row>
    <row r="15" spans="1:8" x14ac:dyDescent="0.2">
      <c r="A15" t="s">
        <v>31</v>
      </c>
      <c r="B15">
        <v>4</v>
      </c>
      <c r="C15">
        <v>2</v>
      </c>
      <c r="D15">
        <v>1.2989999999999999</v>
      </c>
      <c r="E15" s="1">
        <v>0.1</v>
      </c>
      <c r="F15" t="s">
        <v>21</v>
      </c>
    </row>
    <row r="16" spans="1:8" x14ac:dyDescent="0.2">
      <c r="A16" t="s">
        <v>32</v>
      </c>
      <c r="B16">
        <v>4</v>
      </c>
      <c r="C16">
        <v>3</v>
      </c>
      <c r="D16">
        <v>1.075</v>
      </c>
      <c r="E16" s="1">
        <v>0.1</v>
      </c>
      <c r="F16" t="s">
        <v>21</v>
      </c>
    </row>
    <row r="17" spans="1:6" x14ac:dyDescent="0.2">
      <c r="A17" t="s">
        <v>33</v>
      </c>
      <c r="B17">
        <v>5</v>
      </c>
      <c r="C17">
        <v>1</v>
      </c>
      <c r="D17">
        <v>1.3680000000000001</v>
      </c>
      <c r="E17" s="1">
        <v>0.1</v>
      </c>
      <c r="F17" t="s">
        <v>21</v>
      </c>
    </row>
    <row r="18" spans="1:6" x14ac:dyDescent="0.2">
      <c r="A18" t="s">
        <v>34</v>
      </c>
      <c r="B18">
        <v>5</v>
      </c>
      <c r="C18">
        <v>2</v>
      </c>
      <c r="D18">
        <v>1.3480000000000001</v>
      </c>
      <c r="E18" s="1">
        <v>0.1</v>
      </c>
      <c r="F18" t="s">
        <v>21</v>
      </c>
    </row>
    <row r="19" spans="1:6" x14ac:dyDescent="0.2">
      <c r="A19" t="s">
        <v>35</v>
      </c>
      <c r="B19">
        <v>5</v>
      </c>
      <c r="C19">
        <v>3</v>
      </c>
      <c r="D19">
        <v>1.49</v>
      </c>
      <c r="E19" s="1">
        <v>0.1</v>
      </c>
      <c r="F19" t="s">
        <v>21</v>
      </c>
    </row>
    <row r="20" spans="1:6" x14ac:dyDescent="0.2">
      <c r="A20" t="s">
        <v>36</v>
      </c>
      <c r="B20">
        <v>6</v>
      </c>
      <c r="C20">
        <v>1</v>
      </c>
      <c r="D20">
        <v>1.659</v>
      </c>
      <c r="E20" s="1">
        <v>0.1</v>
      </c>
      <c r="F20" t="s">
        <v>21</v>
      </c>
    </row>
    <row r="21" spans="1:6" x14ac:dyDescent="0.2">
      <c r="A21" t="s">
        <v>37</v>
      </c>
      <c r="B21">
        <v>6</v>
      </c>
      <c r="C21">
        <v>2</v>
      </c>
      <c r="D21">
        <v>1.6060000000000001</v>
      </c>
      <c r="E21" s="1">
        <v>0.1</v>
      </c>
      <c r="F21" t="s">
        <v>21</v>
      </c>
    </row>
    <row r="22" spans="1:6" x14ac:dyDescent="0.2">
      <c r="A22" t="s">
        <v>38</v>
      </c>
      <c r="B22">
        <v>6</v>
      </c>
      <c r="C22">
        <v>3</v>
      </c>
      <c r="D22">
        <v>1.5620000000000001</v>
      </c>
      <c r="E22" s="1">
        <v>0.1</v>
      </c>
      <c r="F22" t="s">
        <v>21</v>
      </c>
    </row>
    <row r="23" spans="1:6" x14ac:dyDescent="0.2">
      <c r="A23" t="s">
        <v>39</v>
      </c>
      <c r="B23">
        <v>7</v>
      </c>
      <c r="C23">
        <v>1</v>
      </c>
      <c r="D23">
        <v>1.702</v>
      </c>
      <c r="E23" s="1">
        <v>0.1</v>
      </c>
      <c r="F23" t="s">
        <v>21</v>
      </c>
    </row>
    <row r="24" spans="1:6" x14ac:dyDescent="0.2">
      <c r="A24" t="s">
        <v>40</v>
      </c>
      <c r="B24">
        <v>7</v>
      </c>
      <c r="C24">
        <v>2</v>
      </c>
      <c r="D24">
        <v>1.742</v>
      </c>
      <c r="E24" s="1">
        <v>0.1</v>
      </c>
      <c r="F24" t="s">
        <v>21</v>
      </c>
    </row>
    <row r="25" spans="1:6" x14ac:dyDescent="0.2">
      <c r="A25" t="s">
        <v>41</v>
      </c>
      <c r="B25">
        <v>7</v>
      </c>
      <c r="C25">
        <v>3</v>
      </c>
      <c r="D25">
        <v>1.34</v>
      </c>
      <c r="E25" s="1">
        <v>0.1</v>
      </c>
      <c r="F25" t="s">
        <v>21</v>
      </c>
    </row>
    <row r="26" spans="1:6" x14ac:dyDescent="0.2">
      <c r="A26" t="s">
        <v>42</v>
      </c>
      <c r="B26">
        <v>8</v>
      </c>
      <c r="C26">
        <v>1</v>
      </c>
      <c r="D26">
        <v>1.4970000000000001</v>
      </c>
      <c r="E26" s="1">
        <v>0.1</v>
      </c>
      <c r="F26" t="s">
        <v>21</v>
      </c>
    </row>
    <row r="27" spans="1:6" x14ac:dyDescent="0.2">
      <c r="A27" t="s">
        <v>43</v>
      </c>
      <c r="B27">
        <v>8</v>
      </c>
      <c r="C27">
        <v>2</v>
      </c>
      <c r="D27">
        <v>1.4370000000000001</v>
      </c>
      <c r="E27" s="1">
        <v>0.1</v>
      </c>
      <c r="F27" t="s">
        <v>21</v>
      </c>
    </row>
    <row r="28" spans="1:6" x14ac:dyDescent="0.2">
      <c r="A28" t="s">
        <v>44</v>
      </c>
      <c r="B28">
        <v>8</v>
      </c>
      <c r="C28">
        <v>3</v>
      </c>
      <c r="D28">
        <v>1.37</v>
      </c>
      <c r="E28" s="1">
        <v>0.1</v>
      </c>
      <c r="F28" t="s">
        <v>21</v>
      </c>
    </row>
    <row r="29" spans="1:6" x14ac:dyDescent="0.2">
      <c r="A29" t="s">
        <v>15</v>
      </c>
      <c r="B29">
        <v>0</v>
      </c>
      <c r="C29">
        <v>1</v>
      </c>
      <c r="D29">
        <v>0.29099999999999998</v>
      </c>
      <c r="E29" s="1">
        <v>1E-3</v>
      </c>
      <c r="F29">
        <v>265</v>
      </c>
    </row>
    <row r="30" spans="1:6" x14ac:dyDescent="0.2">
      <c r="A30" t="s">
        <v>18</v>
      </c>
      <c r="B30">
        <v>0</v>
      </c>
      <c r="C30">
        <v>2</v>
      </c>
      <c r="D30">
        <v>0.33400000000000002</v>
      </c>
      <c r="E30" s="1">
        <v>1E-3</v>
      </c>
      <c r="F30">
        <v>313</v>
      </c>
    </row>
    <row r="31" spans="1:6" x14ac:dyDescent="0.2">
      <c r="A31" t="s">
        <v>19</v>
      </c>
      <c r="B31">
        <v>0</v>
      </c>
      <c r="C31">
        <v>3</v>
      </c>
      <c r="D31">
        <v>0.32700000000000001</v>
      </c>
      <c r="E31" s="1">
        <v>1E-3</v>
      </c>
      <c r="F31">
        <v>379</v>
      </c>
    </row>
    <row r="32" spans="1:6" x14ac:dyDescent="0.2">
      <c r="A32" t="s">
        <v>20</v>
      </c>
      <c r="B32">
        <v>1</v>
      </c>
      <c r="C32">
        <v>1</v>
      </c>
      <c r="D32">
        <v>0.49099999999999999</v>
      </c>
      <c r="E32" s="1">
        <v>1E-3</v>
      </c>
      <c r="F32">
        <v>395</v>
      </c>
    </row>
    <row r="33" spans="1:6" x14ac:dyDescent="0.2">
      <c r="A33" t="s">
        <v>22</v>
      </c>
      <c r="B33">
        <v>1</v>
      </c>
      <c r="C33">
        <v>2</v>
      </c>
      <c r="D33">
        <v>0.63</v>
      </c>
      <c r="E33" s="1">
        <v>1E-3</v>
      </c>
      <c r="F33">
        <v>426</v>
      </c>
    </row>
    <row r="34" spans="1:6" x14ac:dyDescent="0.2">
      <c r="A34" t="s">
        <v>23</v>
      </c>
      <c r="B34">
        <v>1</v>
      </c>
      <c r="C34">
        <v>3</v>
      </c>
      <c r="D34">
        <v>0.48799999999999999</v>
      </c>
      <c r="E34" s="1">
        <v>1E-3</v>
      </c>
      <c r="F34">
        <v>500</v>
      </c>
    </row>
    <row r="35" spans="1:6" x14ac:dyDescent="0.2">
      <c r="A35" t="s">
        <v>24</v>
      </c>
      <c r="B35">
        <v>2</v>
      </c>
      <c r="C35">
        <v>1</v>
      </c>
      <c r="D35">
        <v>0.76900000000000002</v>
      </c>
      <c r="E35" s="1">
        <v>1E-3</v>
      </c>
      <c r="F35" t="s">
        <v>16</v>
      </c>
    </row>
    <row r="36" spans="1:6" x14ac:dyDescent="0.2">
      <c r="A36" t="s">
        <v>25</v>
      </c>
      <c r="B36">
        <v>2</v>
      </c>
      <c r="C36">
        <v>2</v>
      </c>
      <c r="D36">
        <v>0.76800000000000002</v>
      </c>
      <c r="E36" s="1">
        <v>1E-3</v>
      </c>
      <c r="F36" t="s">
        <v>16</v>
      </c>
    </row>
    <row r="37" spans="1:6" x14ac:dyDescent="0.2">
      <c r="A37" t="s">
        <v>26</v>
      </c>
      <c r="B37">
        <v>2</v>
      </c>
      <c r="C37">
        <v>3</v>
      </c>
      <c r="D37">
        <v>0.77400000000000002</v>
      </c>
      <c r="E37" s="1">
        <v>1E-3</v>
      </c>
      <c r="F37" t="s">
        <v>16</v>
      </c>
    </row>
    <row r="38" spans="1:6" x14ac:dyDescent="0.2">
      <c r="A38" t="s">
        <v>15</v>
      </c>
      <c r="B38">
        <v>0</v>
      </c>
      <c r="C38">
        <v>1</v>
      </c>
      <c r="D38">
        <v>0.29099999999999998</v>
      </c>
      <c r="E38" s="1">
        <v>1E-4</v>
      </c>
      <c r="F38" t="s">
        <v>17</v>
      </c>
    </row>
    <row r="39" spans="1:6" x14ac:dyDescent="0.2">
      <c r="A39" t="s">
        <v>18</v>
      </c>
      <c r="B39">
        <v>0</v>
      </c>
      <c r="C39">
        <v>2</v>
      </c>
      <c r="D39">
        <v>0.33400000000000002</v>
      </c>
      <c r="E39" s="1">
        <v>1E-4</v>
      </c>
      <c r="F39" t="s">
        <v>17</v>
      </c>
    </row>
    <row r="40" spans="1:6" x14ac:dyDescent="0.2">
      <c r="A40" t="s">
        <v>19</v>
      </c>
      <c r="B40">
        <v>0</v>
      </c>
      <c r="C40">
        <v>3</v>
      </c>
      <c r="D40">
        <v>0.32700000000000001</v>
      </c>
      <c r="E40" s="1">
        <v>1E-4</v>
      </c>
      <c r="F40" t="s">
        <v>17</v>
      </c>
    </row>
    <row r="41" spans="1:6" x14ac:dyDescent="0.2">
      <c r="A41" t="s">
        <v>20</v>
      </c>
      <c r="B41">
        <v>1</v>
      </c>
      <c r="C41">
        <v>1</v>
      </c>
      <c r="D41">
        <v>0.49099999999999999</v>
      </c>
      <c r="E41" s="1">
        <v>1E-4</v>
      </c>
      <c r="F41" t="s">
        <v>17</v>
      </c>
    </row>
    <row r="42" spans="1:6" x14ac:dyDescent="0.2">
      <c r="A42" t="s">
        <v>22</v>
      </c>
      <c r="B42">
        <v>1</v>
      </c>
      <c r="C42">
        <v>2</v>
      </c>
      <c r="D42">
        <v>0.63</v>
      </c>
      <c r="E42" s="1">
        <v>1E-4</v>
      </c>
      <c r="F42" t="s">
        <v>17</v>
      </c>
    </row>
    <row r="43" spans="1:6" x14ac:dyDescent="0.2">
      <c r="A43" t="s">
        <v>23</v>
      </c>
      <c r="B43">
        <v>1</v>
      </c>
      <c r="C43">
        <v>3</v>
      </c>
      <c r="D43">
        <v>0.48799999999999999</v>
      </c>
      <c r="E43" s="1">
        <v>1E-4</v>
      </c>
      <c r="F43" t="s">
        <v>17</v>
      </c>
    </row>
    <row r="44" spans="1:6" x14ac:dyDescent="0.2">
      <c r="A44" t="s">
        <v>24</v>
      </c>
      <c r="B44">
        <v>2</v>
      </c>
      <c r="C44">
        <v>1</v>
      </c>
      <c r="D44">
        <v>0.76900000000000002</v>
      </c>
      <c r="E44" s="1">
        <v>1E-4</v>
      </c>
      <c r="F44" t="s">
        <v>17</v>
      </c>
    </row>
    <row r="45" spans="1:6" x14ac:dyDescent="0.2">
      <c r="A45" t="s">
        <v>25</v>
      </c>
      <c r="B45">
        <v>2</v>
      </c>
      <c r="C45">
        <v>2</v>
      </c>
      <c r="D45">
        <v>0.76800000000000002</v>
      </c>
      <c r="E45" s="1">
        <v>1E-4</v>
      </c>
      <c r="F45" t="s">
        <v>17</v>
      </c>
    </row>
    <row r="46" spans="1:6" x14ac:dyDescent="0.2">
      <c r="A46" t="s">
        <v>26</v>
      </c>
      <c r="B46">
        <v>2</v>
      </c>
      <c r="C46">
        <v>3</v>
      </c>
      <c r="D46">
        <v>0.77400000000000002</v>
      </c>
      <c r="E46" s="1">
        <v>1E-4</v>
      </c>
      <c r="F46" t="s">
        <v>17</v>
      </c>
    </row>
    <row r="47" spans="1:6" x14ac:dyDescent="0.2">
      <c r="A47" t="s">
        <v>27</v>
      </c>
      <c r="B47">
        <v>3</v>
      </c>
      <c r="C47">
        <v>1</v>
      </c>
      <c r="D47">
        <v>1.004</v>
      </c>
      <c r="E47" s="1">
        <v>1E-4</v>
      </c>
      <c r="F47">
        <v>613</v>
      </c>
    </row>
    <row r="48" spans="1:6" x14ac:dyDescent="0.2">
      <c r="A48" t="s">
        <v>28</v>
      </c>
      <c r="B48">
        <v>3</v>
      </c>
      <c r="C48">
        <v>2</v>
      </c>
      <c r="D48">
        <v>0.92500000000000004</v>
      </c>
      <c r="E48" s="1">
        <v>1E-4</v>
      </c>
      <c r="F48">
        <v>569</v>
      </c>
    </row>
    <row r="49" spans="1:6" x14ac:dyDescent="0.2">
      <c r="A49" t="s">
        <v>29</v>
      </c>
      <c r="B49">
        <v>3</v>
      </c>
      <c r="C49">
        <v>3</v>
      </c>
      <c r="D49">
        <v>0.78800000000000003</v>
      </c>
      <c r="E49" s="1">
        <v>1E-4</v>
      </c>
      <c r="F49">
        <v>562</v>
      </c>
    </row>
    <row r="50" spans="1:6" x14ac:dyDescent="0.2">
      <c r="A50" t="s">
        <v>30</v>
      </c>
      <c r="B50">
        <v>4</v>
      </c>
      <c r="C50">
        <v>1</v>
      </c>
      <c r="D50">
        <v>1.1539999999999999</v>
      </c>
      <c r="E50" s="1">
        <v>1E-4</v>
      </c>
      <c r="F50" t="s">
        <v>16</v>
      </c>
    </row>
    <row r="51" spans="1:6" x14ac:dyDescent="0.2">
      <c r="A51" t="s">
        <v>31</v>
      </c>
      <c r="B51">
        <v>4</v>
      </c>
      <c r="C51">
        <v>2</v>
      </c>
      <c r="D51">
        <v>1.2989999999999999</v>
      </c>
      <c r="E51" s="1">
        <v>1E-4</v>
      </c>
      <c r="F51" t="s">
        <v>16</v>
      </c>
    </row>
    <row r="52" spans="1:6" x14ac:dyDescent="0.2">
      <c r="A52" t="s">
        <v>32</v>
      </c>
      <c r="B52">
        <v>4</v>
      </c>
      <c r="C52">
        <v>3</v>
      </c>
      <c r="D52">
        <v>1.075</v>
      </c>
      <c r="E52" s="1">
        <v>1E-4</v>
      </c>
      <c r="F52" t="s">
        <v>16</v>
      </c>
    </row>
    <row r="53" spans="1:6" x14ac:dyDescent="0.2">
      <c r="A53" t="s">
        <v>15</v>
      </c>
      <c r="B53">
        <v>0</v>
      </c>
      <c r="C53">
        <v>1</v>
      </c>
      <c r="D53">
        <v>0.29099999999999998</v>
      </c>
      <c r="E53" s="1">
        <v>1.0000000000000001E-5</v>
      </c>
      <c r="F53">
        <v>7</v>
      </c>
    </row>
    <row r="54" spans="1:6" x14ac:dyDescent="0.2">
      <c r="A54" t="s">
        <v>18</v>
      </c>
      <c r="B54">
        <v>0</v>
      </c>
      <c r="C54">
        <v>2</v>
      </c>
      <c r="D54">
        <v>0.33400000000000002</v>
      </c>
      <c r="E54" s="1">
        <v>1.0000000000000001E-5</v>
      </c>
      <c r="F54">
        <v>10</v>
      </c>
    </row>
    <row r="55" spans="1:6" x14ac:dyDescent="0.2">
      <c r="A55" t="s">
        <v>19</v>
      </c>
      <c r="B55">
        <v>0</v>
      </c>
      <c r="C55">
        <v>3</v>
      </c>
      <c r="D55">
        <v>0.32700000000000001</v>
      </c>
      <c r="E55" s="1">
        <v>1.0000000000000001E-5</v>
      </c>
      <c r="F55">
        <v>10</v>
      </c>
    </row>
    <row r="56" spans="1:6" x14ac:dyDescent="0.2">
      <c r="A56" t="s">
        <v>20</v>
      </c>
      <c r="B56">
        <v>1</v>
      </c>
      <c r="C56">
        <v>1</v>
      </c>
      <c r="D56">
        <v>0.49099999999999999</v>
      </c>
      <c r="E56" s="1">
        <v>1.0000000000000001E-5</v>
      </c>
      <c r="F56">
        <v>4</v>
      </c>
    </row>
    <row r="57" spans="1:6" x14ac:dyDescent="0.2">
      <c r="A57" t="s">
        <v>22</v>
      </c>
      <c r="B57">
        <v>1</v>
      </c>
      <c r="C57">
        <v>2</v>
      </c>
      <c r="D57">
        <v>0.63</v>
      </c>
      <c r="E57" s="1">
        <v>1.0000000000000001E-5</v>
      </c>
      <c r="F57">
        <v>17</v>
      </c>
    </row>
    <row r="58" spans="1:6" x14ac:dyDescent="0.2">
      <c r="A58" t="s">
        <v>23</v>
      </c>
      <c r="B58">
        <v>1</v>
      </c>
      <c r="C58">
        <v>3</v>
      </c>
      <c r="D58">
        <v>0.48799999999999999</v>
      </c>
      <c r="E58" s="1">
        <v>1.0000000000000001E-5</v>
      </c>
      <c r="F58">
        <v>4</v>
      </c>
    </row>
    <row r="59" spans="1:6" x14ac:dyDescent="0.2">
      <c r="A59" t="s">
        <v>24</v>
      </c>
      <c r="B59">
        <v>2</v>
      </c>
      <c r="C59">
        <v>1</v>
      </c>
      <c r="D59">
        <v>0.76900000000000002</v>
      </c>
      <c r="E59" s="1">
        <v>1.0000000000000001E-5</v>
      </c>
      <c r="F59">
        <v>35</v>
      </c>
    </row>
    <row r="60" spans="1:6" x14ac:dyDescent="0.2">
      <c r="A60" t="s">
        <v>25</v>
      </c>
      <c r="B60">
        <v>2</v>
      </c>
      <c r="C60">
        <v>2</v>
      </c>
      <c r="D60">
        <v>0.76800000000000002</v>
      </c>
      <c r="E60" s="1">
        <v>1.0000000000000001E-5</v>
      </c>
      <c r="F60">
        <v>53</v>
      </c>
    </row>
    <row r="61" spans="1:6" x14ac:dyDescent="0.2">
      <c r="A61" t="s">
        <v>26</v>
      </c>
      <c r="B61">
        <v>2</v>
      </c>
      <c r="C61">
        <v>3</v>
      </c>
      <c r="D61">
        <v>0.77400000000000002</v>
      </c>
      <c r="E61" s="1">
        <v>1.0000000000000001E-5</v>
      </c>
      <c r="F61">
        <v>38</v>
      </c>
    </row>
    <row r="62" spans="1:6" x14ac:dyDescent="0.2">
      <c r="A62" t="s">
        <v>27</v>
      </c>
      <c r="B62">
        <v>3</v>
      </c>
      <c r="C62">
        <v>1</v>
      </c>
      <c r="D62">
        <v>1.004</v>
      </c>
      <c r="E62" s="1">
        <v>1.0000000000000001E-5</v>
      </c>
      <c r="F62" t="s">
        <v>17</v>
      </c>
    </row>
    <row r="63" spans="1:6" x14ac:dyDescent="0.2">
      <c r="A63" t="s">
        <v>15</v>
      </c>
      <c r="B63">
        <v>0</v>
      </c>
      <c r="C63">
        <v>1</v>
      </c>
      <c r="D63">
        <v>0.29099999999999998</v>
      </c>
      <c r="E63" s="1">
        <v>9.9999999999999995E-7</v>
      </c>
      <c r="F63" t="s">
        <v>17</v>
      </c>
    </row>
    <row r="64" spans="1:6" x14ac:dyDescent="0.2">
      <c r="A64" t="s">
        <v>18</v>
      </c>
      <c r="B64">
        <v>0</v>
      </c>
      <c r="C64">
        <v>2</v>
      </c>
      <c r="D64">
        <v>0.33400000000000002</v>
      </c>
      <c r="E64" s="1">
        <v>9.9999999999999995E-7</v>
      </c>
      <c r="F64" t="s">
        <v>17</v>
      </c>
    </row>
    <row r="65" spans="1:6" x14ac:dyDescent="0.2">
      <c r="A65" t="s">
        <v>19</v>
      </c>
      <c r="B65">
        <v>0</v>
      </c>
      <c r="C65">
        <v>3</v>
      </c>
      <c r="D65">
        <v>0.32700000000000001</v>
      </c>
      <c r="E65" s="1">
        <v>9.9999999999999995E-7</v>
      </c>
      <c r="F65" t="s">
        <v>17</v>
      </c>
    </row>
    <row r="66" spans="1:6" x14ac:dyDescent="0.2">
      <c r="A66" t="s">
        <v>20</v>
      </c>
      <c r="B66">
        <v>1</v>
      </c>
      <c r="C66">
        <v>1</v>
      </c>
      <c r="D66">
        <v>0.49099999999999999</v>
      </c>
      <c r="E66" s="1">
        <v>9.9999999999999995E-7</v>
      </c>
      <c r="F66" t="s">
        <v>17</v>
      </c>
    </row>
    <row r="67" spans="1:6" x14ac:dyDescent="0.2">
      <c r="A67" t="s">
        <v>22</v>
      </c>
      <c r="B67">
        <v>1</v>
      </c>
      <c r="C67">
        <v>2</v>
      </c>
      <c r="D67">
        <v>0.63</v>
      </c>
      <c r="E67" s="1">
        <v>9.9999999999999995E-7</v>
      </c>
      <c r="F67" t="s">
        <v>17</v>
      </c>
    </row>
    <row r="68" spans="1:6" x14ac:dyDescent="0.2">
      <c r="A68" t="s">
        <v>23</v>
      </c>
      <c r="B68">
        <v>1</v>
      </c>
      <c r="C68">
        <v>3</v>
      </c>
      <c r="D68">
        <v>0.48799999999999999</v>
      </c>
      <c r="E68" s="1">
        <v>9.9999999999999995E-7</v>
      </c>
      <c r="F68" t="s">
        <v>17</v>
      </c>
    </row>
    <row r="69" spans="1:6" x14ac:dyDescent="0.2">
      <c r="A69" t="s">
        <v>24</v>
      </c>
      <c r="B69">
        <v>2</v>
      </c>
      <c r="C69">
        <v>1</v>
      </c>
      <c r="D69">
        <v>0.76900000000000002</v>
      </c>
      <c r="E69" s="1">
        <v>9.9999999999999995E-7</v>
      </c>
      <c r="F69" t="s">
        <v>17</v>
      </c>
    </row>
    <row r="70" spans="1:6" x14ac:dyDescent="0.2">
      <c r="A70" t="s">
        <v>25</v>
      </c>
      <c r="B70">
        <v>2</v>
      </c>
      <c r="C70">
        <v>2</v>
      </c>
      <c r="D70">
        <v>0.76800000000000002</v>
      </c>
      <c r="E70" s="1">
        <v>9.9999999999999995E-7</v>
      </c>
      <c r="F70" t="s">
        <v>17</v>
      </c>
    </row>
    <row r="71" spans="1:6" x14ac:dyDescent="0.2">
      <c r="A71" t="s">
        <v>26</v>
      </c>
      <c r="B71">
        <v>2</v>
      </c>
      <c r="C71">
        <v>3</v>
      </c>
      <c r="D71">
        <v>0.77400000000000002</v>
      </c>
      <c r="E71" s="1">
        <v>9.9999999999999995E-7</v>
      </c>
      <c r="F71" t="s">
        <v>17</v>
      </c>
    </row>
    <row r="72" spans="1:6" x14ac:dyDescent="0.2">
      <c r="A72" t="s">
        <v>27</v>
      </c>
      <c r="B72">
        <v>3</v>
      </c>
      <c r="C72">
        <v>1</v>
      </c>
      <c r="D72">
        <v>1.004</v>
      </c>
      <c r="E72" s="1">
        <v>9.9999999999999995E-7</v>
      </c>
      <c r="F72">
        <v>20</v>
      </c>
    </row>
    <row r="73" spans="1:6" x14ac:dyDescent="0.2">
      <c r="A73" t="s">
        <v>28</v>
      </c>
      <c r="B73">
        <v>3</v>
      </c>
      <c r="C73">
        <v>2</v>
      </c>
      <c r="D73">
        <v>0.92500000000000004</v>
      </c>
      <c r="E73" s="1">
        <v>9.9999999999999995E-7</v>
      </c>
      <c r="F73">
        <v>23</v>
      </c>
    </row>
    <row r="74" spans="1:6" x14ac:dyDescent="0.2">
      <c r="A74" t="s">
        <v>29</v>
      </c>
      <c r="B74">
        <v>3</v>
      </c>
      <c r="C74">
        <v>3</v>
      </c>
      <c r="D74">
        <v>0.78800000000000003</v>
      </c>
      <c r="E74" s="1">
        <v>9.9999999999999995E-7</v>
      </c>
      <c r="F74">
        <v>8</v>
      </c>
    </row>
    <row r="75" spans="1:6" x14ac:dyDescent="0.2">
      <c r="A75" t="s">
        <v>30</v>
      </c>
      <c r="B75">
        <v>4</v>
      </c>
      <c r="C75">
        <v>1</v>
      </c>
      <c r="D75">
        <v>1.1539999999999999</v>
      </c>
      <c r="E75" s="1">
        <v>9.9999999999999995E-7</v>
      </c>
      <c r="F75">
        <v>32</v>
      </c>
    </row>
    <row r="76" spans="1:6" x14ac:dyDescent="0.2">
      <c r="A76" t="s">
        <v>31</v>
      </c>
      <c r="B76">
        <v>4</v>
      </c>
      <c r="C76">
        <v>2</v>
      </c>
      <c r="D76">
        <v>1.2989999999999999</v>
      </c>
      <c r="E76" s="1">
        <v>9.9999999999999995E-7</v>
      </c>
      <c r="F76">
        <v>40</v>
      </c>
    </row>
    <row r="77" spans="1:6" x14ac:dyDescent="0.2">
      <c r="A77" t="s">
        <v>32</v>
      </c>
      <c r="B77">
        <v>4</v>
      </c>
      <c r="C77">
        <v>3</v>
      </c>
      <c r="D77">
        <v>1.075</v>
      </c>
      <c r="E77" s="1">
        <v>9.9999999999999995E-7</v>
      </c>
      <c r="F77">
        <v>27</v>
      </c>
    </row>
    <row r="78" spans="1:6" x14ac:dyDescent="0.2">
      <c r="A78" t="s">
        <v>33</v>
      </c>
      <c r="B78">
        <v>5</v>
      </c>
      <c r="C78">
        <v>1</v>
      </c>
      <c r="D78">
        <v>1.3680000000000001</v>
      </c>
      <c r="E78" s="1">
        <v>9.9999999999999995E-7</v>
      </c>
      <c r="F78">
        <v>26</v>
      </c>
    </row>
    <row r="79" spans="1:6" x14ac:dyDescent="0.2">
      <c r="A79" t="s">
        <v>34</v>
      </c>
      <c r="B79">
        <v>5</v>
      </c>
      <c r="C79">
        <v>2</v>
      </c>
      <c r="D79">
        <v>1.3480000000000001</v>
      </c>
      <c r="E79" s="1">
        <v>9.9999999999999995E-7</v>
      </c>
      <c r="F79">
        <v>28</v>
      </c>
    </row>
    <row r="80" spans="1:6" x14ac:dyDescent="0.2">
      <c r="A80" t="s">
        <v>35</v>
      </c>
      <c r="B80">
        <v>5</v>
      </c>
      <c r="C80">
        <v>3</v>
      </c>
      <c r="D80">
        <v>1.49</v>
      </c>
      <c r="E80" s="1">
        <v>9.9999999999999995E-7</v>
      </c>
      <c r="F80">
        <v>35</v>
      </c>
    </row>
    <row r="81" spans="1:6" x14ac:dyDescent="0.2">
      <c r="A81" t="s">
        <v>36</v>
      </c>
      <c r="B81">
        <v>6</v>
      </c>
      <c r="C81">
        <v>1</v>
      </c>
      <c r="D81">
        <v>1.659</v>
      </c>
      <c r="E81" s="1">
        <v>9.9999999999999995E-7</v>
      </c>
      <c r="F81">
        <v>8</v>
      </c>
    </row>
    <row r="82" spans="1:6" x14ac:dyDescent="0.2">
      <c r="A82" t="s">
        <v>37</v>
      </c>
      <c r="B82">
        <v>6</v>
      </c>
      <c r="C82">
        <v>2</v>
      </c>
      <c r="D82">
        <v>1.6060000000000001</v>
      </c>
      <c r="E82" s="1">
        <v>9.9999999999999995E-7</v>
      </c>
      <c r="F82">
        <v>15</v>
      </c>
    </row>
    <row r="83" spans="1:6" x14ac:dyDescent="0.2">
      <c r="A83" t="s">
        <v>38</v>
      </c>
      <c r="B83">
        <v>6</v>
      </c>
      <c r="C83">
        <v>3</v>
      </c>
      <c r="D83">
        <v>1.5620000000000001</v>
      </c>
      <c r="E83" s="1">
        <v>9.9999999999999995E-7</v>
      </c>
      <c r="F83">
        <v>19</v>
      </c>
    </row>
    <row r="84" spans="1:6" x14ac:dyDescent="0.2">
      <c r="A84" t="s">
        <v>39</v>
      </c>
      <c r="B84">
        <v>7</v>
      </c>
      <c r="C84">
        <v>1</v>
      </c>
      <c r="D84">
        <v>1.702</v>
      </c>
      <c r="E84" s="1">
        <v>9.9999999999999995E-7</v>
      </c>
      <c r="F84">
        <v>11</v>
      </c>
    </row>
    <row r="85" spans="1:6" x14ac:dyDescent="0.2">
      <c r="A85" t="s">
        <v>41</v>
      </c>
      <c r="B85">
        <v>7</v>
      </c>
      <c r="C85">
        <v>3</v>
      </c>
      <c r="D85">
        <v>1.34</v>
      </c>
      <c r="E85" s="1">
        <v>9.9999999999999995E-7</v>
      </c>
      <c r="F85">
        <v>12</v>
      </c>
    </row>
    <row r="86" spans="1:6" x14ac:dyDescent="0.2">
      <c r="A86" t="s">
        <v>42</v>
      </c>
      <c r="B86">
        <v>8</v>
      </c>
      <c r="C86">
        <v>1</v>
      </c>
      <c r="D86">
        <v>1.4970000000000001</v>
      </c>
      <c r="E86" s="1">
        <v>9.9999999999999995E-7</v>
      </c>
      <c r="F86">
        <v>23</v>
      </c>
    </row>
    <row r="87" spans="1:6" x14ac:dyDescent="0.2">
      <c r="A87" t="s">
        <v>43</v>
      </c>
      <c r="B87">
        <v>8</v>
      </c>
      <c r="C87">
        <v>2</v>
      </c>
      <c r="D87">
        <v>1.4370000000000001</v>
      </c>
      <c r="E87" s="1">
        <v>9.9999999999999995E-7</v>
      </c>
      <c r="F87">
        <v>36</v>
      </c>
    </row>
    <row r="88" spans="1:6" x14ac:dyDescent="0.2">
      <c r="A88" t="s">
        <v>44</v>
      </c>
      <c r="B88">
        <v>8</v>
      </c>
      <c r="C88">
        <v>3</v>
      </c>
      <c r="D88">
        <v>1.37</v>
      </c>
      <c r="E88" s="1">
        <v>9.9999999999999995E-7</v>
      </c>
      <c r="F88">
        <v>33</v>
      </c>
    </row>
    <row r="89" spans="1:6" x14ac:dyDescent="0.2">
      <c r="A89" t="s">
        <v>33</v>
      </c>
      <c r="B89">
        <v>5</v>
      </c>
      <c r="C89">
        <v>1</v>
      </c>
      <c r="D89">
        <v>1.3680000000000001</v>
      </c>
      <c r="E89" s="1">
        <v>9.9999999999999995E-8</v>
      </c>
      <c r="F89">
        <v>1</v>
      </c>
    </row>
    <row r="90" spans="1:6" x14ac:dyDescent="0.2">
      <c r="A90" t="s">
        <v>34</v>
      </c>
      <c r="B90">
        <v>5</v>
      </c>
      <c r="C90">
        <v>2</v>
      </c>
      <c r="D90">
        <v>1.3480000000000001</v>
      </c>
      <c r="E90" s="1">
        <v>9.9999999999999995E-8</v>
      </c>
      <c r="F90">
        <v>3</v>
      </c>
    </row>
    <row r="91" spans="1:6" x14ac:dyDescent="0.2">
      <c r="A91" t="s">
        <v>35</v>
      </c>
      <c r="B91">
        <v>5</v>
      </c>
      <c r="C91">
        <v>3</v>
      </c>
      <c r="D91">
        <v>1.49</v>
      </c>
      <c r="E91" s="1">
        <v>9.9999999999999995E-8</v>
      </c>
      <c r="F91">
        <v>2</v>
      </c>
    </row>
    <row r="92" spans="1:6" x14ac:dyDescent="0.2">
      <c r="A92" t="s">
        <v>36</v>
      </c>
      <c r="B92">
        <v>6</v>
      </c>
      <c r="C92">
        <v>1</v>
      </c>
      <c r="D92">
        <v>1.659</v>
      </c>
      <c r="E92" s="1">
        <v>9.9999999999999995E-8</v>
      </c>
      <c r="F92">
        <v>2</v>
      </c>
    </row>
    <row r="93" spans="1:6" x14ac:dyDescent="0.2">
      <c r="A93" t="s">
        <v>37</v>
      </c>
      <c r="B93">
        <v>6</v>
      </c>
      <c r="C93">
        <v>2</v>
      </c>
      <c r="D93">
        <v>1.6060000000000001</v>
      </c>
      <c r="E93" s="1">
        <v>9.9999999999999995E-8</v>
      </c>
      <c r="F93">
        <v>2</v>
      </c>
    </row>
    <row r="94" spans="1:6" x14ac:dyDescent="0.2">
      <c r="A94" t="s">
        <v>38</v>
      </c>
      <c r="B94">
        <v>6</v>
      </c>
      <c r="C94">
        <v>3</v>
      </c>
      <c r="D94">
        <v>1.5620000000000001</v>
      </c>
      <c r="E94" s="1">
        <v>9.9999999999999995E-8</v>
      </c>
      <c r="F94">
        <v>1</v>
      </c>
    </row>
    <row r="95" spans="1:6" x14ac:dyDescent="0.2">
      <c r="A95" t="s">
        <v>39</v>
      </c>
      <c r="B95">
        <v>7</v>
      </c>
      <c r="C95">
        <v>1</v>
      </c>
      <c r="D95">
        <v>1.702</v>
      </c>
      <c r="E95" s="1">
        <v>1E-8</v>
      </c>
      <c r="F95">
        <v>0</v>
      </c>
    </row>
    <row r="96" spans="1:6" x14ac:dyDescent="0.2">
      <c r="A96" t="s">
        <v>40</v>
      </c>
      <c r="B96">
        <v>7</v>
      </c>
      <c r="C96">
        <v>2</v>
      </c>
      <c r="D96">
        <v>1.742</v>
      </c>
      <c r="E96" s="1">
        <v>1E-8</v>
      </c>
      <c r="F96">
        <v>12</v>
      </c>
    </row>
    <row r="97" spans="1:8" x14ac:dyDescent="0.2">
      <c r="A97" t="s">
        <v>42</v>
      </c>
      <c r="B97">
        <v>8</v>
      </c>
      <c r="C97">
        <v>1</v>
      </c>
      <c r="D97">
        <v>1.4970000000000001</v>
      </c>
      <c r="E97" s="1">
        <v>1E-8</v>
      </c>
      <c r="F97">
        <v>1</v>
      </c>
    </row>
    <row r="98" spans="1:8" x14ac:dyDescent="0.2">
      <c r="A98" t="s">
        <v>33</v>
      </c>
      <c r="B98">
        <v>5</v>
      </c>
      <c r="C98">
        <v>1</v>
      </c>
      <c r="D98">
        <v>1.3680000000000001</v>
      </c>
      <c r="G98" s="1">
        <v>0.1</v>
      </c>
      <c r="H98">
        <v>195</v>
      </c>
    </row>
    <row r="99" spans="1:8" x14ac:dyDescent="0.2">
      <c r="A99" t="s">
        <v>34</v>
      </c>
      <c r="B99">
        <v>5</v>
      </c>
      <c r="C99">
        <v>2</v>
      </c>
      <c r="D99">
        <v>1.3480000000000001</v>
      </c>
      <c r="G99" s="1">
        <v>0.1</v>
      </c>
      <c r="H99">
        <v>190</v>
      </c>
    </row>
    <row r="100" spans="1:8" x14ac:dyDescent="0.2">
      <c r="A100" t="s">
        <v>35</v>
      </c>
      <c r="B100">
        <v>5</v>
      </c>
      <c r="C100">
        <v>3</v>
      </c>
      <c r="D100">
        <v>1.49</v>
      </c>
      <c r="G100" s="1">
        <v>0.1</v>
      </c>
      <c r="H100">
        <v>234</v>
      </c>
    </row>
    <row r="101" spans="1:8" x14ac:dyDescent="0.2">
      <c r="A101" t="s">
        <v>15</v>
      </c>
      <c r="B101">
        <v>0</v>
      </c>
      <c r="C101">
        <v>1</v>
      </c>
      <c r="D101">
        <v>0.29099999999999998</v>
      </c>
      <c r="G101" s="1">
        <v>0.01</v>
      </c>
      <c r="H101" t="s">
        <v>17</v>
      </c>
    </row>
    <row r="102" spans="1:8" x14ac:dyDescent="0.2">
      <c r="A102" t="s">
        <v>18</v>
      </c>
      <c r="B102">
        <v>0</v>
      </c>
      <c r="C102">
        <v>2</v>
      </c>
      <c r="D102">
        <v>0.33400000000000002</v>
      </c>
      <c r="G102" s="1">
        <v>0.01</v>
      </c>
      <c r="H102" t="s">
        <v>17</v>
      </c>
    </row>
    <row r="103" spans="1:8" x14ac:dyDescent="0.2">
      <c r="A103" t="s">
        <v>19</v>
      </c>
      <c r="B103">
        <v>0</v>
      </c>
      <c r="C103">
        <v>3</v>
      </c>
      <c r="D103">
        <v>0.32700000000000001</v>
      </c>
      <c r="G103" s="1">
        <v>0.01</v>
      </c>
      <c r="H103" t="s">
        <v>17</v>
      </c>
    </row>
    <row r="104" spans="1:8" x14ac:dyDescent="0.2">
      <c r="A104" t="s">
        <v>20</v>
      </c>
      <c r="B104">
        <v>1</v>
      </c>
      <c r="C104">
        <v>1</v>
      </c>
      <c r="D104">
        <v>0.49099999999999999</v>
      </c>
      <c r="G104" s="1">
        <v>0.01</v>
      </c>
      <c r="H104" t="s">
        <v>17</v>
      </c>
    </row>
    <row r="105" spans="1:8" x14ac:dyDescent="0.2">
      <c r="A105" t="s">
        <v>22</v>
      </c>
      <c r="B105">
        <v>1</v>
      </c>
      <c r="C105">
        <v>2</v>
      </c>
      <c r="D105">
        <v>0.63</v>
      </c>
      <c r="G105" s="1">
        <v>0.01</v>
      </c>
      <c r="H105" t="s">
        <v>17</v>
      </c>
    </row>
    <row r="106" spans="1:8" x14ac:dyDescent="0.2">
      <c r="A106" t="s">
        <v>23</v>
      </c>
      <c r="B106">
        <v>1</v>
      </c>
      <c r="C106">
        <v>3</v>
      </c>
      <c r="D106">
        <v>0.48799999999999999</v>
      </c>
      <c r="G106" s="1">
        <v>0.01</v>
      </c>
      <c r="H106" t="s">
        <v>17</v>
      </c>
    </row>
    <row r="107" spans="1:8" x14ac:dyDescent="0.2">
      <c r="A107" t="s">
        <v>24</v>
      </c>
      <c r="B107">
        <v>2</v>
      </c>
      <c r="C107">
        <v>1</v>
      </c>
      <c r="D107">
        <v>0.76900000000000002</v>
      </c>
      <c r="G107" s="1">
        <v>0.01</v>
      </c>
      <c r="H107" t="s">
        <v>17</v>
      </c>
    </row>
    <row r="108" spans="1:8" x14ac:dyDescent="0.2">
      <c r="A108" t="s">
        <v>25</v>
      </c>
      <c r="B108">
        <v>2</v>
      </c>
      <c r="C108">
        <v>2</v>
      </c>
      <c r="D108">
        <v>0.76800000000000002</v>
      </c>
      <c r="G108" s="1">
        <v>0.01</v>
      </c>
      <c r="H108" t="s">
        <v>17</v>
      </c>
    </row>
    <row r="109" spans="1:8" x14ac:dyDescent="0.2">
      <c r="A109" t="s">
        <v>26</v>
      </c>
      <c r="B109">
        <v>2</v>
      </c>
      <c r="C109">
        <v>3</v>
      </c>
      <c r="D109">
        <v>0.77400000000000002</v>
      </c>
      <c r="G109" s="1">
        <v>0.01</v>
      </c>
      <c r="H109" t="s">
        <v>17</v>
      </c>
    </row>
    <row r="110" spans="1:8" x14ac:dyDescent="0.2">
      <c r="A110" t="s">
        <v>27</v>
      </c>
      <c r="B110">
        <v>3</v>
      </c>
      <c r="C110">
        <v>1</v>
      </c>
      <c r="D110">
        <v>1.004</v>
      </c>
      <c r="G110" s="1">
        <v>0.01</v>
      </c>
      <c r="H110" t="s">
        <v>17</v>
      </c>
    </row>
    <row r="111" spans="1:8" x14ac:dyDescent="0.2">
      <c r="A111" t="s">
        <v>28</v>
      </c>
      <c r="B111">
        <v>3</v>
      </c>
      <c r="C111">
        <v>2</v>
      </c>
      <c r="D111">
        <v>0.92500000000000004</v>
      </c>
      <c r="G111" s="1">
        <v>0.01</v>
      </c>
      <c r="H111" t="s">
        <v>17</v>
      </c>
    </row>
    <row r="112" spans="1:8" x14ac:dyDescent="0.2">
      <c r="A112" t="s">
        <v>29</v>
      </c>
      <c r="B112">
        <v>3</v>
      </c>
      <c r="C112">
        <v>3</v>
      </c>
      <c r="D112">
        <v>0.78800000000000003</v>
      </c>
      <c r="G112" s="1">
        <v>0.01</v>
      </c>
      <c r="H112" t="s">
        <v>17</v>
      </c>
    </row>
    <row r="113" spans="1:8" x14ac:dyDescent="0.2">
      <c r="A113" t="s">
        <v>30</v>
      </c>
      <c r="B113">
        <v>4</v>
      </c>
      <c r="C113">
        <v>1</v>
      </c>
      <c r="D113">
        <v>1.1539999999999999</v>
      </c>
      <c r="G113" s="1">
        <v>0.01</v>
      </c>
      <c r="H113">
        <v>11</v>
      </c>
    </row>
    <row r="114" spans="1:8" x14ac:dyDescent="0.2">
      <c r="A114" t="s">
        <v>31</v>
      </c>
      <c r="B114">
        <v>4</v>
      </c>
      <c r="C114">
        <v>2</v>
      </c>
      <c r="D114">
        <v>1.2989999999999999</v>
      </c>
      <c r="G114" s="1">
        <v>0.01</v>
      </c>
      <c r="H114">
        <v>16</v>
      </c>
    </row>
    <row r="115" spans="1:8" x14ac:dyDescent="0.2">
      <c r="A115" t="s">
        <v>32</v>
      </c>
      <c r="B115">
        <v>4</v>
      </c>
      <c r="C115">
        <v>3</v>
      </c>
      <c r="D115">
        <v>1.075</v>
      </c>
      <c r="G115" s="1">
        <v>0.01</v>
      </c>
      <c r="H115">
        <v>19</v>
      </c>
    </row>
    <row r="116" spans="1:8" x14ac:dyDescent="0.2">
      <c r="A116" t="s">
        <v>33</v>
      </c>
      <c r="B116">
        <v>5</v>
      </c>
      <c r="C116">
        <v>1</v>
      </c>
      <c r="D116">
        <v>1.3680000000000001</v>
      </c>
      <c r="G116" s="1">
        <v>0.01</v>
      </c>
      <c r="H116" t="s">
        <v>17</v>
      </c>
    </row>
    <row r="117" spans="1:8" x14ac:dyDescent="0.2">
      <c r="A117" t="s">
        <v>34</v>
      </c>
      <c r="B117">
        <v>5</v>
      </c>
      <c r="C117">
        <v>2</v>
      </c>
      <c r="D117">
        <v>1.3480000000000001</v>
      </c>
      <c r="G117" s="1">
        <v>0.01</v>
      </c>
      <c r="H117" t="s">
        <v>17</v>
      </c>
    </row>
    <row r="118" spans="1:8" x14ac:dyDescent="0.2">
      <c r="A118" t="s">
        <v>35</v>
      </c>
      <c r="B118">
        <v>5</v>
      </c>
      <c r="C118">
        <v>3</v>
      </c>
      <c r="D118">
        <v>1.49</v>
      </c>
      <c r="G118" s="1">
        <v>0.01</v>
      </c>
      <c r="H118" t="s">
        <v>17</v>
      </c>
    </row>
    <row r="119" spans="1:8" x14ac:dyDescent="0.2">
      <c r="A119" t="s">
        <v>39</v>
      </c>
      <c r="B119">
        <v>7</v>
      </c>
      <c r="C119">
        <v>1</v>
      </c>
      <c r="D119">
        <v>1.702</v>
      </c>
      <c r="G119" s="1">
        <v>0.01</v>
      </c>
      <c r="H119">
        <v>23</v>
      </c>
    </row>
    <row r="120" spans="1:8" x14ac:dyDescent="0.2">
      <c r="A120" t="s">
        <v>40</v>
      </c>
      <c r="B120">
        <v>7</v>
      </c>
      <c r="C120">
        <v>2</v>
      </c>
      <c r="D120">
        <v>1.742</v>
      </c>
      <c r="G120" s="1">
        <v>0.01</v>
      </c>
      <c r="H120">
        <v>7</v>
      </c>
    </row>
    <row r="121" spans="1:8" x14ac:dyDescent="0.2">
      <c r="A121" t="s">
        <v>41</v>
      </c>
      <c r="B121">
        <v>7</v>
      </c>
      <c r="C121">
        <v>3</v>
      </c>
      <c r="D121">
        <v>1.34</v>
      </c>
      <c r="G121" s="1">
        <v>0.01</v>
      </c>
      <c r="H121">
        <v>15</v>
      </c>
    </row>
    <row r="122" spans="1:8" x14ac:dyDescent="0.2">
      <c r="A122" t="s">
        <v>42</v>
      </c>
      <c r="B122">
        <v>8</v>
      </c>
      <c r="C122">
        <v>1</v>
      </c>
      <c r="D122">
        <v>1.4970000000000001</v>
      </c>
      <c r="G122" s="1">
        <v>0.01</v>
      </c>
      <c r="H122">
        <v>18</v>
      </c>
    </row>
    <row r="123" spans="1:8" x14ac:dyDescent="0.2">
      <c r="A123" t="s">
        <v>43</v>
      </c>
      <c r="B123">
        <v>8</v>
      </c>
      <c r="C123">
        <v>2</v>
      </c>
      <c r="D123">
        <v>1.4370000000000001</v>
      </c>
      <c r="G123" s="1">
        <v>0.01</v>
      </c>
      <c r="H123">
        <v>7</v>
      </c>
    </row>
    <row r="124" spans="1:8" x14ac:dyDescent="0.2">
      <c r="A124" t="s">
        <v>44</v>
      </c>
      <c r="B124">
        <v>8</v>
      </c>
      <c r="C124">
        <v>3</v>
      </c>
      <c r="D124">
        <v>1.37</v>
      </c>
      <c r="G124" s="1">
        <v>0.01</v>
      </c>
      <c r="H124">
        <v>6</v>
      </c>
    </row>
    <row r="125" spans="1:8" x14ac:dyDescent="0.2">
      <c r="A125" t="s">
        <v>15</v>
      </c>
      <c r="B125">
        <v>0</v>
      </c>
      <c r="C125">
        <v>1</v>
      </c>
      <c r="D125">
        <v>0.29099999999999998</v>
      </c>
      <c r="G125" s="1">
        <v>1E-3</v>
      </c>
      <c r="H125">
        <v>1</v>
      </c>
    </row>
    <row r="126" spans="1:8" x14ac:dyDescent="0.2">
      <c r="A126" t="s">
        <v>18</v>
      </c>
      <c r="B126">
        <v>0</v>
      </c>
      <c r="C126">
        <v>2</v>
      </c>
      <c r="D126">
        <v>0.33400000000000002</v>
      </c>
      <c r="G126" s="1">
        <v>1E-3</v>
      </c>
      <c r="H126">
        <v>0</v>
      </c>
    </row>
    <row r="127" spans="1:8" x14ac:dyDescent="0.2">
      <c r="A127" t="s">
        <v>19</v>
      </c>
      <c r="B127">
        <v>0</v>
      </c>
      <c r="C127">
        <v>3</v>
      </c>
      <c r="D127">
        <v>0.32700000000000001</v>
      </c>
      <c r="G127" s="1">
        <v>1E-3</v>
      </c>
      <c r="H127">
        <v>0</v>
      </c>
    </row>
    <row r="128" spans="1:8" x14ac:dyDescent="0.2">
      <c r="A128" t="s">
        <v>20</v>
      </c>
      <c r="B128">
        <v>1</v>
      </c>
      <c r="C128">
        <v>1</v>
      </c>
      <c r="D128">
        <v>0.49099999999999999</v>
      </c>
      <c r="G128" s="1">
        <v>1E-3</v>
      </c>
      <c r="H128">
        <v>4</v>
      </c>
    </row>
    <row r="129" spans="1:8" x14ac:dyDescent="0.2">
      <c r="A129" t="s">
        <v>22</v>
      </c>
      <c r="B129">
        <v>1</v>
      </c>
      <c r="C129">
        <v>2</v>
      </c>
      <c r="D129">
        <v>0.63</v>
      </c>
      <c r="G129" s="1">
        <v>1E-3</v>
      </c>
      <c r="H129">
        <v>0</v>
      </c>
    </row>
    <row r="130" spans="1:8" x14ac:dyDescent="0.2">
      <c r="A130" t="s">
        <v>23</v>
      </c>
      <c r="B130">
        <v>1</v>
      </c>
      <c r="C130">
        <v>3</v>
      </c>
      <c r="D130">
        <v>0.48799999999999999</v>
      </c>
      <c r="G130" s="1">
        <v>1E-3</v>
      </c>
      <c r="H130">
        <v>2</v>
      </c>
    </row>
    <row r="131" spans="1:8" x14ac:dyDescent="0.2">
      <c r="A131" t="s">
        <v>24</v>
      </c>
      <c r="B131">
        <v>2</v>
      </c>
      <c r="C131">
        <v>1</v>
      </c>
      <c r="D131">
        <v>0.76900000000000002</v>
      </c>
      <c r="G131" s="1">
        <v>1E-3</v>
      </c>
      <c r="H131">
        <v>2</v>
      </c>
    </row>
    <row r="132" spans="1:8" x14ac:dyDescent="0.2">
      <c r="A132" t="s">
        <v>25</v>
      </c>
      <c r="B132">
        <v>2</v>
      </c>
      <c r="C132">
        <v>2</v>
      </c>
      <c r="D132">
        <v>0.76800000000000002</v>
      </c>
      <c r="G132" s="1">
        <v>1E-3</v>
      </c>
      <c r="H132">
        <v>3</v>
      </c>
    </row>
    <row r="133" spans="1:8" x14ac:dyDescent="0.2">
      <c r="A133" t="s">
        <v>26</v>
      </c>
      <c r="B133">
        <v>2</v>
      </c>
      <c r="C133">
        <v>3</v>
      </c>
      <c r="D133">
        <v>0.77400000000000002</v>
      </c>
      <c r="G133" s="1">
        <v>1E-3</v>
      </c>
      <c r="H133">
        <v>2</v>
      </c>
    </row>
    <row r="134" spans="1:8" x14ac:dyDescent="0.2">
      <c r="A134" t="s">
        <v>33</v>
      </c>
      <c r="B134">
        <v>5</v>
      </c>
      <c r="C134">
        <v>1</v>
      </c>
      <c r="D134">
        <v>1.3680000000000001</v>
      </c>
      <c r="G134" s="1">
        <v>1E-3</v>
      </c>
      <c r="H134" s="2">
        <v>6</v>
      </c>
    </row>
    <row r="135" spans="1:8" x14ac:dyDescent="0.2">
      <c r="A135" t="s">
        <v>34</v>
      </c>
      <c r="B135">
        <v>5</v>
      </c>
      <c r="C135">
        <v>2</v>
      </c>
      <c r="D135">
        <v>1.3480000000000001</v>
      </c>
      <c r="G135" s="1">
        <v>1E-3</v>
      </c>
      <c r="H135" s="2">
        <v>2</v>
      </c>
    </row>
    <row r="136" spans="1:8" x14ac:dyDescent="0.2">
      <c r="A136" t="s">
        <v>35</v>
      </c>
      <c r="B136">
        <v>5</v>
      </c>
      <c r="C136">
        <v>3</v>
      </c>
      <c r="D136">
        <v>1.49</v>
      </c>
      <c r="G136" s="1">
        <v>1E-3</v>
      </c>
      <c r="H136" s="2">
        <v>0</v>
      </c>
    </row>
    <row r="137" spans="1:8" x14ac:dyDescent="0.2">
      <c r="A137" t="s">
        <v>36</v>
      </c>
      <c r="B137">
        <v>6</v>
      </c>
      <c r="C137">
        <v>1</v>
      </c>
      <c r="D137">
        <v>1.659</v>
      </c>
      <c r="G137" s="1">
        <v>1E-3</v>
      </c>
      <c r="H137" s="2">
        <v>0</v>
      </c>
    </row>
    <row r="138" spans="1:8" x14ac:dyDescent="0.2">
      <c r="A138" t="s">
        <v>37</v>
      </c>
      <c r="B138">
        <v>6</v>
      </c>
      <c r="C138">
        <v>2</v>
      </c>
      <c r="D138">
        <v>1.6060000000000001</v>
      </c>
      <c r="G138" s="1">
        <v>1E-3</v>
      </c>
      <c r="H138" s="2">
        <v>4</v>
      </c>
    </row>
    <row r="139" spans="1:8" x14ac:dyDescent="0.2">
      <c r="A139" t="s">
        <v>38</v>
      </c>
      <c r="B139">
        <v>6</v>
      </c>
      <c r="C139">
        <v>3</v>
      </c>
      <c r="D139">
        <v>1.5620000000000001</v>
      </c>
      <c r="G139" s="1">
        <v>1E-3</v>
      </c>
      <c r="H139" s="2">
        <v>1</v>
      </c>
    </row>
    <row r="140" spans="1:8" x14ac:dyDescent="0.2">
      <c r="A140" t="s">
        <v>15</v>
      </c>
      <c r="B140">
        <v>0</v>
      </c>
      <c r="C140">
        <v>1</v>
      </c>
      <c r="D140">
        <v>0.29099999999999998</v>
      </c>
      <c r="G140" s="1">
        <v>1.0000000000000001E-5</v>
      </c>
      <c r="H140">
        <v>0</v>
      </c>
    </row>
    <row r="141" spans="1:8" x14ac:dyDescent="0.2">
      <c r="A141" t="s">
        <v>18</v>
      </c>
      <c r="B141">
        <v>0</v>
      </c>
      <c r="C141">
        <v>2</v>
      </c>
      <c r="D141">
        <v>0.33400000000000002</v>
      </c>
      <c r="G141" s="1">
        <v>1.0000000000000001E-5</v>
      </c>
      <c r="H141">
        <v>0</v>
      </c>
    </row>
    <row r="142" spans="1:8" x14ac:dyDescent="0.2">
      <c r="A142" t="s">
        <v>19</v>
      </c>
      <c r="B142">
        <v>0</v>
      </c>
      <c r="C142">
        <v>3</v>
      </c>
      <c r="D142">
        <v>0.32700000000000001</v>
      </c>
      <c r="G142" s="1">
        <v>1.0000000000000001E-5</v>
      </c>
      <c r="H142">
        <v>0</v>
      </c>
    </row>
    <row r="143" spans="1:8" x14ac:dyDescent="0.2">
      <c r="A143" t="s">
        <v>20</v>
      </c>
      <c r="B143">
        <v>1</v>
      </c>
      <c r="C143">
        <v>1</v>
      </c>
      <c r="D143">
        <v>0.49099999999999999</v>
      </c>
      <c r="G143" s="1">
        <v>1.0000000000000001E-5</v>
      </c>
      <c r="H143">
        <v>0</v>
      </c>
    </row>
    <row r="144" spans="1:8" x14ac:dyDescent="0.2">
      <c r="A144" t="s">
        <v>22</v>
      </c>
      <c r="B144">
        <v>1</v>
      </c>
      <c r="C144">
        <v>2</v>
      </c>
      <c r="D144">
        <v>0.63</v>
      </c>
      <c r="G144" s="1">
        <v>1.0000000000000001E-5</v>
      </c>
      <c r="H144">
        <v>0</v>
      </c>
    </row>
    <row r="145" spans="1:8" x14ac:dyDescent="0.2">
      <c r="A145" t="s">
        <v>23</v>
      </c>
      <c r="B145">
        <v>1</v>
      </c>
      <c r="C145">
        <v>3</v>
      </c>
      <c r="D145">
        <v>0.48799999999999999</v>
      </c>
      <c r="G145" s="1">
        <v>1.0000000000000001E-5</v>
      </c>
      <c r="H145">
        <v>0</v>
      </c>
    </row>
    <row r="146" spans="1:8" x14ac:dyDescent="0.2">
      <c r="A146" t="s">
        <v>24</v>
      </c>
      <c r="B146">
        <v>2</v>
      </c>
      <c r="C146">
        <v>1</v>
      </c>
      <c r="D146">
        <v>0.76900000000000002</v>
      </c>
      <c r="G146" s="1">
        <v>1.0000000000000001E-5</v>
      </c>
      <c r="H146">
        <v>0</v>
      </c>
    </row>
    <row r="147" spans="1:8" x14ac:dyDescent="0.2">
      <c r="A147" t="s">
        <v>25</v>
      </c>
      <c r="B147">
        <v>2</v>
      </c>
      <c r="C147">
        <v>2</v>
      </c>
      <c r="D147">
        <v>0.76800000000000002</v>
      </c>
      <c r="G147" s="1">
        <v>1.0000000000000001E-5</v>
      </c>
      <c r="H147">
        <v>0</v>
      </c>
    </row>
    <row r="148" spans="1:8" x14ac:dyDescent="0.2">
      <c r="A148" t="s">
        <v>26</v>
      </c>
      <c r="B148">
        <v>2</v>
      </c>
      <c r="C148">
        <v>3</v>
      </c>
      <c r="D148">
        <v>0.77400000000000002</v>
      </c>
      <c r="G148" s="1">
        <v>1.0000000000000001E-5</v>
      </c>
      <c r="H148">
        <v>0</v>
      </c>
    </row>
    <row r="149" spans="1:8" x14ac:dyDescent="0.2">
      <c r="A149" t="s">
        <v>33</v>
      </c>
      <c r="B149">
        <v>5</v>
      </c>
      <c r="C149">
        <v>1</v>
      </c>
      <c r="D149">
        <v>1.3680000000000001</v>
      </c>
      <c r="G149" s="1">
        <v>1.0000000000000001E-5</v>
      </c>
      <c r="H149">
        <v>1</v>
      </c>
    </row>
    <row r="150" spans="1:8" x14ac:dyDescent="0.2">
      <c r="A150" t="s">
        <v>35</v>
      </c>
      <c r="B150">
        <v>5</v>
      </c>
      <c r="C150">
        <v>3</v>
      </c>
      <c r="D150">
        <v>1.49</v>
      </c>
      <c r="G150" s="1">
        <v>1.0000000000000001E-5</v>
      </c>
      <c r="H150">
        <v>0</v>
      </c>
    </row>
    <row r="151" spans="1:8" x14ac:dyDescent="0.2">
      <c r="A151" t="s">
        <v>36</v>
      </c>
      <c r="B151">
        <v>6</v>
      </c>
      <c r="C151">
        <v>1</v>
      </c>
      <c r="D151">
        <v>1.659</v>
      </c>
      <c r="G151" s="1">
        <v>1.0000000000000001E-5</v>
      </c>
      <c r="H151">
        <v>0</v>
      </c>
    </row>
    <row r="152" spans="1:8" x14ac:dyDescent="0.2">
      <c r="A152" t="s">
        <v>37</v>
      </c>
      <c r="B152">
        <v>6</v>
      </c>
      <c r="C152">
        <v>2</v>
      </c>
      <c r="D152">
        <v>1.6060000000000001</v>
      </c>
      <c r="G152" s="1">
        <v>1.0000000000000001E-5</v>
      </c>
      <c r="H152">
        <v>0</v>
      </c>
    </row>
    <row r="153" spans="1:8" x14ac:dyDescent="0.2">
      <c r="A153" t="s">
        <v>38</v>
      </c>
      <c r="B153">
        <v>6</v>
      </c>
      <c r="C153">
        <v>3</v>
      </c>
      <c r="D153">
        <v>1.5620000000000001</v>
      </c>
      <c r="G153" s="1">
        <v>1.0000000000000001E-5</v>
      </c>
      <c r="H15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EFEC7-BB0B-4943-83B5-C23915686552}">
  <dimension ref="A1:K37"/>
  <sheetViews>
    <sheetView workbookViewId="0">
      <selection sqref="A1:XFD1"/>
    </sheetView>
  </sheetViews>
  <sheetFormatPr baseColWidth="10" defaultColWidth="11" defaultRowHeight="16" x14ac:dyDescent="0.2"/>
  <cols>
    <col min="5" max="5" width="21.6640625" customWidth="1"/>
    <col min="9" max="9" width="21.8320312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45</v>
      </c>
      <c r="G1" t="s">
        <v>48</v>
      </c>
      <c r="H1" t="s">
        <v>49</v>
      </c>
      <c r="I1" t="s">
        <v>47</v>
      </c>
      <c r="J1" t="s">
        <v>46</v>
      </c>
      <c r="K1" t="s">
        <v>50</v>
      </c>
    </row>
    <row r="2" spans="1:11" x14ac:dyDescent="0.2">
      <c r="A2" t="s">
        <v>15</v>
      </c>
      <c r="B2">
        <v>0</v>
      </c>
      <c r="C2">
        <v>1</v>
      </c>
      <c r="D2">
        <v>0.29099999999999998</v>
      </c>
      <c r="E2">
        <v>265</v>
      </c>
      <c r="F2" s="1">
        <v>1E-3</v>
      </c>
      <c r="G2" s="1">
        <v>0.1</v>
      </c>
      <c r="H2" s="1">
        <f>E2/(F2*G2)</f>
        <v>2650000</v>
      </c>
      <c r="I2">
        <v>110</v>
      </c>
      <c r="J2" s="1">
        <v>0.1</v>
      </c>
      <c r="K2" s="1">
        <f>I2/(G2*J2)</f>
        <v>10999.999999999998</v>
      </c>
    </row>
    <row r="3" spans="1:11" x14ac:dyDescent="0.2">
      <c r="A3" t="s">
        <v>18</v>
      </c>
      <c r="B3">
        <v>0</v>
      </c>
      <c r="C3">
        <v>2</v>
      </c>
      <c r="D3">
        <v>0.33400000000000002</v>
      </c>
      <c r="E3">
        <v>313</v>
      </c>
      <c r="F3" s="1">
        <v>1E-3</v>
      </c>
      <c r="G3" s="1">
        <v>0.1</v>
      </c>
      <c r="H3" s="1">
        <f t="shared" ref="H3:H37" si="0">E3/(F3*G3)</f>
        <v>3130000</v>
      </c>
      <c r="I3">
        <v>121</v>
      </c>
      <c r="J3" s="1">
        <v>0.1</v>
      </c>
      <c r="K3" s="1">
        <f t="shared" ref="K3:K37" si="1">I3/(G3*J3)</f>
        <v>12099.999999999998</v>
      </c>
    </row>
    <row r="4" spans="1:11" x14ac:dyDescent="0.2">
      <c r="A4" t="s">
        <v>19</v>
      </c>
      <c r="B4">
        <v>0</v>
      </c>
      <c r="C4">
        <v>3</v>
      </c>
      <c r="D4">
        <v>0.32700000000000001</v>
      </c>
      <c r="E4">
        <v>379</v>
      </c>
      <c r="F4" s="1">
        <v>1E-3</v>
      </c>
      <c r="G4" s="1">
        <v>0.1</v>
      </c>
      <c r="H4" s="1">
        <f t="shared" si="0"/>
        <v>3790000</v>
      </c>
      <c r="I4">
        <v>118</v>
      </c>
      <c r="J4" s="1">
        <v>0.1</v>
      </c>
      <c r="K4" s="1">
        <f t="shared" si="1"/>
        <v>11799.999999999998</v>
      </c>
    </row>
    <row r="5" spans="1:11" x14ac:dyDescent="0.2">
      <c r="A5" t="s">
        <v>20</v>
      </c>
      <c r="B5">
        <v>1</v>
      </c>
      <c r="C5">
        <v>1</v>
      </c>
      <c r="D5">
        <v>0.49099999999999999</v>
      </c>
      <c r="E5">
        <v>395</v>
      </c>
      <c r="F5" s="1">
        <v>1E-3</v>
      </c>
      <c r="G5" s="1">
        <v>0.1</v>
      </c>
      <c r="H5" s="1">
        <f t="shared" si="0"/>
        <v>3950000</v>
      </c>
      <c r="I5">
        <v>4</v>
      </c>
      <c r="J5" s="1">
        <v>1E-3</v>
      </c>
      <c r="K5" s="1">
        <f t="shared" si="1"/>
        <v>40000</v>
      </c>
    </row>
    <row r="6" spans="1:11" x14ac:dyDescent="0.2">
      <c r="A6" t="s">
        <v>22</v>
      </c>
      <c r="B6">
        <v>1</v>
      </c>
      <c r="C6">
        <v>2</v>
      </c>
      <c r="D6">
        <v>0.63</v>
      </c>
      <c r="E6">
        <v>426</v>
      </c>
      <c r="F6" s="1">
        <v>1E-3</v>
      </c>
      <c r="G6" s="1">
        <v>0.1</v>
      </c>
      <c r="H6" s="1">
        <f t="shared" si="0"/>
        <v>4260000</v>
      </c>
      <c r="I6">
        <v>0</v>
      </c>
      <c r="J6" s="1">
        <v>1E-3</v>
      </c>
      <c r="K6" s="1">
        <f t="shared" si="1"/>
        <v>0</v>
      </c>
    </row>
    <row r="7" spans="1:11" x14ac:dyDescent="0.2">
      <c r="A7" t="s">
        <v>23</v>
      </c>
      <c r="B7">
        <v>1</v>
      </c>
      <c r="C7">
        <v>3</v>
      </c>
      <c r="D7">
        <v>0.48799999999999999</v>
      </c>
      <c r="E7">
        <v>500</v>
      </c>
      <c r="F7" s="1">
        <v>1E-3</v>
      </c>
      <c r="G7" s="1">
        <v>0.1</v>
      </c>
      <c r="H7" s="1">
        <f t="shared" si="0"/>
        <v>5000000</v>
      </c>
      <c r="I7">
        <v>2</v>
      </c>
      <c r="J7" s="1">
        <v>1E-3</v>
      </c>
      <c r="K7" s="1">
        <f t="shared" si="1"/>
        <v>20000</v>
      </c>
    </row>
    <row r="8" spans="1:11" x14ac:dyDescent="0.2">
      <c r="A8" t="s">
        <v>24</v>
      </c>
      <c r="B8">
        <v>2</v>
      </c>
      <c r="C8">
        <v>1</v>
      </c>
      <c r="D8">
        <v>0.76900000000000002</v>
      </c>
      <c r="E8">
        <v>35</v>
      </c>
      <c r="F8" s="1">
        <v>1.0000000000000001E-5</v>
      </c>
      <c r="G8" s="1">
        <v>0.1</v>
      </c>
      <c r="H8" s="1">
        <f t="shared" si="0"/>
        <v>34999999.999999993</v>
      </c>
      <c r="I8">
        <v>2</v>
      </c>
      <c r="J8" s="1">
        <v>1E-3</v>
      </c>
      <c r="K8" s="1">
        <f t="shared" si="1"/>
        <v>20000</v>
      </c>
    </row>
    <row r="9" spans="1:11" x14ac:dyDescent="0.2">
      <c r="A9" t="s">
        <v>25</v>
      </c>
      <c r="B9">
        <v>2</v>
      </c>
      <c r="C9">
        <v>2</v>
      </c>
      <c r="D9">
        <v>0.76800000000000002</v>
      </c>
      <c r="E9">
        <v>53</v>
      </c>
      <c r="F9" s="1">
        <v>1.0000000000000001E-5</v>
      </c>
      <c r="G9" s="1">
        <v>0.1</v>
      </c>
      <c r="H9" s="1">
        <f t="shared" si="0"/>
        <v>52999999.999999993</v>
      </c>
      <c r="I9">
        <v>3</v>
      </c>
      <c r="J9" s="1">
        <v>1E-3</v>
      </c>
      <c r="K9" s="1">
        <f t="shared" si="1"/>
        <v>30000</v>
      </c>
    </row>
    <row r="10" spans="1:11" x14ac:dyDescent="0.2">
      <c r="A10" t="s">
        <v>26</v>
      </c>
      <c r="B10">
        <v>2</v>
      </c>
      <c r="C10">
        <v>3</v>
      </c>
      <c r="D10">
        <v>0.77400000000000002</v>
      </c>
      <c r="E10">
        <v>38</v>
      </c>
      <c r="F10" s="1">
        <v>1.0000000000000001E-5</v>
      </c>
      <c r="G10" s="1">
        <v>0.1</v>
      </c>
      <c r="H10" s="1">
        <f t="shared" si="0"/>
        <v>37999999.999999993</v>
      </c>
      <c r="I10">
        <v>2</v>
      </c>
      <c r="J10" s="1">
        <v>1E-3</v>
      </c>
      <c r="K10" s="1">
        <f t="shared" si="1"/>
        <v>20000</v>
      </c>
    </row>
    <row r="11" spans="1:11" x14ac:dyDescent="0.2">
      <c r="A11" t="s">
        <v>27</v>
      </c>
      <c r="B11">
        <v>3</v>
      </c>
      <c r="C11">
        <v>1</v>
      </c>
      <c r="D11">
        <v>1.004</v>
      </c>
      <c r="E11">
        <v>20</v>
      </c>
      <c r="F11" s="1">
        <v>9.9999999999999995E-7</v>
      </c>
      <c r="G11" s="1">
        <v>0.1</v>
      </c>
      <c r="H11" s="1">
        <f t="shared" si="0"/>
        <v>200000000</v>
      </c>
      <c r="K11" s="1"/>
    </row>
    <row r="12" spans="1:11" x14ac:dyDescent="0.2">
      <c r="A12" t="s">
        <v>28</v>
      </c>
      <c r="B12">
        <v>3</v>
      </c>
      <c r="C12">
        <v>2</v>
      </c>
      <c r="D12">
        <v>0.92500000000000004</v>
      </c>
      <c r="E12">
        <v>23</v>
      </c>
      <c r="F12" s="1">
        <v>9.9999999999999995E-7</v>
      </c>
      <c r="G12" s="1">
        <v>0.1</v>
      </c>
      <c r="H12" s="1">
        <f t="shared" si="0"/>
        <v>230000000</v>
      </c>
      <c r="K12" s="1"/>
    </row>
    <row r="13" spans="1:11" x14ac:dyDescent="0.2">
      <c r="A13" t="s">
        <v>29</v>
      </c>
      <c r="B13">
        <v>3</v>
      </c>
      <c r="C13">
        <v>3</v>
      </c>
      <c r="D13">
        <v>0.78800000000000003</v>
      </c>
      <c r="E13">
        <v>8</v>
      </c>
      <c r="F13" s="1">
        <v>9.9999999999999995E-7</v>
      </c>
      <c r="G13" s="1">
        <v>0.1</v>
      </c>
      <c r="H13" s="1">
        <f t="shared" si="0"/>
        <v>80000000</v>
      </c>
      <c r="K13" s="1"/>
    </row>
    <row r="14" spans="1:11" x14ac:dyDescent="0.2">
      <c r="A14" t="s">
        <v>30</v>
      </c>
      <c r="B14">
        <v>4</v>
      </c>
      <c r="C14">
        <v>1</v>
      </c>
      <c r="D14">
        <v>1.1539999999999999</v>
      </c>
      <c r="E14">
        <v>32</v>
      </c>
      <c r="F14" s="1">
        <v>9.9999999999999995E-7</v>
      </c>
      <c r="G14" s="1">
        <v>0.1</v>
      </c>
      <c r="H14" s="1">
        <f t="shared" si="0"/>
        <v>320000000</v>
      </c>
      <c r="I14">
        <v>11</v>
      </c>
      <c r="J14" s="1">
        <v>0.1</v>
      </c>
      <c r="K14" s="1">
        <f t="shared" si="1"/>
        <v>1099.9999999999998</v>
      </c>
    </row>
    <row r="15" spans="1:11" x14ac:dyDescent="0.2">
      <c r="A15" t="s">
        <v>31</v>
      </c>
      <c r="B15">
        <v>4</v>
      </c>
      <c r="C15">
        <v>2</v>
      </c>
      <c r="D15">
        <v>1.2989999999999999</v>
      </c>
      <c r="E15">
        <v>40</v>
      </c>
      <c r="F15" s="1">
        <v>9.9999999999999995E-7</v>
      </c>
      <c r="G15" s="1">
        <v>0.1</v>
      </c>
      <c r="H15" s="1">
        <f t="shared" si="0"/>
        <v>400000000</v>
      </c>
      <c r="I15">
        <v>16</v>
      </c>
      <c r="J15" s="1">
        <v>0.1</v>
      </c>
      <c r="K15" s="1">
        <f t="shared" si="1"/>
        <v>1599.9999999999998</v>
      </c>
    </row>
    <row r="16" spans="1:11" x14ac:dyDescent="0.2">
      <c r="A16" t="s">
        <v>32</v>
      </c>
      <c r="B16">
        <v>4</v>
      </c>
      <c r="C16">
        <v>3</v>
      </c>
      <c r="D16">
        <v>1.075</v>
      </c>
      <c r="E16">
        <v>27</v>
      </c>
      <c r="F16" s="1">
        <v>9.9999999999999995E-7</v>
      </c>
      <c r="G16" s="1">
        <v>0.1</v>
      </c>
      <c r="H16" s="1">
        <f t="shared" si="0"/>
        <v>270000000</v>
      </c>
      <c r="I16">
        <v>19</v>
      </c>
      <c r="J16" s="1">
        <v>0.1</v>
      </c>
      <c r="K16" s="1">
        <f t="shared" si="1"/>
        <v>1899.9999999999995</v>
      </c>
    </row>
    <row r="17" spans="1:11" x14ac:dyDescent="0.2">
      <c r="A17" t="s">
        <v>33</v>
      </c>
      <c r="B17">
        <v>5</v>
      </c>
      <c r="C17">
        <v>1</v>
      </c>
      <c r="D17">
        <v>1.3680000000000001</v>
      </c>
      <c r="E17">
        <v>26</v>
      </c>
      <c r="F17" s="1">
        <v>9.9999999999999995E-7</v>
      </c>
      <c r="G17" s="1">
        <v>0.1</v>
      </c>
      <c r="H17" s="1">
        <f t="shared" si="0"/>
        <v>260000000</v>
      </c>
      <c r="I17">
        <v>195</v>
      </c>
      <c r="J17" s="1">
        <v>0.01</v>
      </c>
      <c r="K17" s="1">
        <f t="shared" si="1"/>
        <v>195000</v>
      </c>
    </row>
    <row r="18" spans="1:11" x14ac:dyDescent="0.2">
      <c r="A18" t="s">
        <v>34</v>
      </c>
      <c r="B18">
        <v>5</v>
      </c>
      <c r="C18">
        <v>2</v>
      </c>
      <c r="D18">
        <v>1.3480000000000001</v>
      </c>
      <c r="E18">
        <v>28</v>
      </c>
      <c r="F18" s="1">
        <v>9.9999999999999995E-7</v>
      </c>
      <c r="G18" s="1">
        <v>0.1</v>
      </c>
      <c r="H18" s="1">
        <f t="shared" si="0"/>
        <v>280000000</v>
      </c>
      <c r="I18">
        <v>190</v>
      </c>
      <c r="J18" s="1">
        <v>0.01</v>
      </c>
      <c r="K18" s="1">
        <f t="shared" si="1"/>
        <v>190000</v>
      </c>
    </row>
    <row r="19" spans="1:11" x14ac:dyDescent="0.2">
      <c r="A19" t="s">
        <v>35</v>
      </c>
      <c r="B19">
        <v>5</v>
      </c>
      <c r="C19">
        <v>3</v>
      </c>
      <c r="D19">
        <v>1.49</v>
      </c>
      <c r="E19">
        <v>35</v>
      </c>
      <c r="F19" s="1">
        <v>9.9999999999999995E-7</v>
      </c>
      <c r="G19" s="1">
        <v>0.1</v>
      </c>
      <c r="H19" s="1">
        <f t="shared" si="0"/>
        <v>350000000</v>
      </c>
      <c r="I19">
        <v>234</v>
      </c>
      <c r="J19" s="1">
        <v>0.01</v>
      </c>
      <c r="K19" s="1">
        <f t="shared" si="1"/>
        <v>234000</v>
      </c>
    </row>
    <row r="20" spans="1:11" x14ac:dyDescent="0.2">
      <c r="A20" t="s">
        <v>36</v>
      </c>
      <c r="B20">
        <v>6</v>
      </c>
      <c r="C20">
        <v>1</v>
      </c>
      <c r="D20">
        <v>1.659</v>
      </c>
      <c r="E20">
        <v>8</v>
      </c>
      <c r="F20" s="1">
        <v>9.9999999999999995E-7</v>
      </c>
      <c r="G20" s="1">
        <v>0.1</v>
      </c>
      <c r="H20" s="1">
        <f t="shared" si="0"/>
        <v>80000000</v>
      </c>
      <c r="I20">
        <v>0</v>
      </c>
      <c r="J20" s="1">
        <v>1E-3</v>
      </c>
      <c r="K20" s="1">
        <f t="shared" si="1"/>
        <v>0</v>
      </c>
    </row>
    <row r="21" spans="1:11" x14ac:dyDescent="0.2">
      <c r="A21" t="s">
        <v>37</v>
      </c>
      <c r="B21">
        <v>6</v>
      </c>
      <c r="C21">
        <v>2</v>
      </c>
      <c r="D21">
        <v>1.6060000000000001</v>
      </c>
      <c r="E21">
        <v>15</v>
      </c>
      <c r="F21" s="1">
        <v>9.9999999999999995E-7</v>
      </c>
      <c r="G21" s="1">
        <v>0.1</v>
      </c>
      <c r="H21" s="1">
        <f t="shared" si="0"/>
        <v>150000000</v>
      </c>
      <c r="I21">
        <v>4</v>
      </c>
      <c r="J21" s="1">
        <v>1E-3</v>
      </c>
      <c r="K21" s="1">
        <f t="shared" si="1"/>
        <v>40000</v>
      </c>
    </row>
    <row r="22" spans="1:11" x14ac:dyDescent="0.2">
      <c r="A22" t="s">
        <v>38</v>
      </c>
      <c r="B22">
        <v>6</v>
      </c>
      <c r="C22">
        <v>3</v>
      </c>
      <c r="D22">
        <v>1.5620000000000001</v>
      </c>
      <c r="E22">
        <v>19</v>
      </c>
      <c r="F22" s="1">
        <v>9.9999999999999995E-7</v>
      </c>
      <c r="G22" s="1">
        <v>0.1</v>
      </c>
      <c r="H22" s="1">
        <f t="shared" si="0"/>
        <v>190000000</v>
      </c>
      <c r="I22">
        <v>1</v>
      </c>
      <c r="J22" s="1">
        <v>1E-3</v>
      </c>
      <c r="K22" s="1">
        <f t="shared" si="1"/>
        <v>10000</v>
      </c>
    </row>
    <row r="23" spans="1:11" x14ac:dyDescent="0.2">
      <c r="A23" t="s">
        <v>39</v>
      </c>
      <c r="B23">
        <v>7</v>
      </c>
      <c r="C23">
        <v>1</v>
      </c>
      <c r="D23">
        <v>1.702</v>
      </c>
      <c r="E23">
        <v>11</v>
      </c>
      <c r="F23" s="1">
        <v>9.9999999999999995E-7</v>
      </c>
      <c r="G23" s="1">
        <v>0.1</v>
      </c>
      <c r="H23" s="1">
        <f t="shared" si="0"/>
        <v>110000000</v>
      </c>
      <c r="I23">
        <v>23</v>
      </c>
      <c r="J23" s="1">
        <v>0.01</v>
      </c>
      <c r="K23" s="1">
        <f t="shared" si="1"/>
        <v>23000</v>
      </c>
    </row>
    <row r="24" spans="1:11" x14ac:dyDescent="0.2">
      <c r="A24" t="s">
        <v>40</v>
      </c>
      <c r="B24">
        <v>7</v>
      </c>
      <c r="C24">
        <v>2</v>
      </c>
      <c r="D24">
        <v>1.742</v>
      </c>
      <c r="E24">
        <v>12</v>
      </c>
      <c r="F24" s="1">
        <v>1E-8</v>
      </c>
      <c r="G24" s="1">
        <v>0.1</v>
      </c>
      <c r="H24" s="1">
        <f t="shared" si="0"/>
        <v>12000000000</v>
      </c>
      <c r="I24">
        <v>7</v>
      </c>
      <c r="J24" s="1">
        <v>0.01</v>
      </c>
      <c r="K24" s="1">
        <f t="shared" si="1"/>
        <v>7000</v>
      </c>
    </row>
    <row r="25" spans="1:11" x14ac:dyDescent="0.2">
      <c r="A25" t="s">
        <v>41</v>
      </c>
      <c r="B25">
        <v>7</v>
      </c>
      <c r="C25">
        <v>3</v>
      </c>
      <c r="D25">
        <v>1.34</v>
      </c>
      <c r="E25">
        <v>12</v>
      </c>
      <c r="F25" s="1">
        <v>9.9999999999999995E-7</v>
      </c>
      <c r="G25" s="1">
        <v>0.1</v>
      </c>
      <c r="H25" s="1">
        <f t="shared" si="0"/>
        <v>120000000</v>
      </c>
      <c r="I25">
        <v>15</v>
      </c>
      <c r="J25" s="1">
        <v>0.01</v>
      </c>
      <c r="K25" s="1">
        <f t="shared" si="1"/>
        <v>15000</v>
      </c>
    </row>
    <row r="26" spans="1:11" x14ac:dyDescent="0.2">
      <c r="A26" t="s">
        <v>42</v>
      </c>
      <c r="B26">
        <v>8</v>
      </c>
      <c r="C26">
        <v>1</v>
      </c>
      <c r="D26">
        <v>1.4970000000000001</v>
      </c>
      <c r="E26">
        <v>23</v>
      </c>
      <c r="F26" s="1">
        <v>9.9999999999999995E-7</v>
      </c>
      <c r="G26" s="1">
        <v>0.1</v>
      </c>
      <c r="H26" s="1">
        <f t="shared" si="0"/>
        <v>230000000</v>
      </c>
      <c r="I26">
        <v>18</v>
      </c>
      <c r="J26" s="1">
        <v>0.01</v>
      </c>
      <c r="K26" s="1">
        <f t="shared" si="1"/>
        <v>18000</v>
      </c>
    </row>
    <row r="27" spans="1:11" x14ac:dyDescent="0.2">
      <c r="A27" t="s">
        <v>43</v>
      </c>
      <c r="B27">
        <v>8</v>
      </c>
      <c r="C27">
        <v>2</v>
      </c>
      <c r="D27">
        <v>1.4370000000000001</v>
      </c>
      <c r="E27">
        <v>36</v>
      </c>
      <c r="F27" s="1">
        <v>9.9999999999999995E-7</v>
      </c>
      <c r="G27" s="1">
        <v>0.1</v>
      </c>
      <c r="H27" s="1">
        <f t="shared" si="0"/>
        <v>360000000</v>
      </c>
      <c r="I27">
        <v>7</v>
      </c>
      <c r="J27" s="1">
        <v>0.01</v>
      </c>
      <c r="K27" s="1">
        <f t="shared" si="1"/>
        <v>7000</v>
      </c>
    </row>
    <row r="28" spans="1:11" x14ac:dyDescent="0.2">
      <c r="A28" t="s">
        <v>44</v>
      </c>
      <c r="B28">
        <v>8</v>
      </c>
      <c r="C28">
        <v>3</v>
      </c>
      <c r="D28">
        <v>1.37</v>
      </c>
      <c r="E28">
        <v>33</v>
      </c>
      <c r="F28" s="1">
        <v>9.9999999999999995E-7</v>
      </c>
      <c r="G28" s="1">
        <v>0.1</v>
      </c>
      <c r="H28" s="1">
        <f t="shared" si="0"/>
        <v>330000000</v>
      </c>
      <c r="I28">
        <v>6</v>
      </c>
      <c r="J28" s="1">
        <v>0.01</v>
      </c>
      <c r="K28" s="1">
        <f t="shared" si="1"/>
        <v>6000</v>
      </c>
    </row>
    <row r="29" spans="1:11" x14ac:dyDescent="0.2">
      <c r="A29" t="s">
        <v>51</v>
      </c>
      <c r="B29">
        <v>10</v>
      </c>
      <c r="C29">
        <v>1</v>
      </c>
      <c r="D29">
        <v>1.637</v>
      </c>
      <c r="E29">
        <v>30</v>
      </c>
      <c r="F29" s="1">
        <v>1E-4</v>
      </c>
      <c r="G29" s="1">
        <v>0.1</v>
      </c>
      <c r="H29" s="1">
        <f t="shared" si="0"/>
        <v>2999999.9999999995</v>
      </c>
      <c r="I29">
        <v>9</v>
      </c>
      <c r="J29" s="1">
        <v>0.01</v>
      </c>
      <c r="K29" s="1">
        <f t="shared" si="1"/>
        <v>9000</v>
      </c>
    </row>
    <row r="30" spans="1:11" x14ac:dyDescent="0.2">
      <c r="A30" t="s">
        <v>52</v>
      </c>
      <c r="B30">
        <v>10</v>
      </c>
      <c r="C30">
        <v>2</v>
      </c>
      <c r="D30">
        <v>1.4890000000000001</v>
      </c>
      <c r="E30">
        <v>41</v>
      </c>
      <c r="F30" s="1">
        <v>9.9999999999999995E-7</v>
      </c>
      <c r="G30" s="1">
        <v>0.1</v>
      </c>
      <c r="H30" s="1">
        <f t="shared" si="0"/>
        <v>410000000</v>
      </c>
      <c r="I30">
        <v>1</v>
      </c>
      <c r="J30" s="1">
        <v>1E-4</v>
      </c>
      <c r="K30" s="1">
        <f t="shared" si="1"/>
        <v>99999.999999999985</v>
      </c>
    </row>
    <row r="31" spans="1:11" x14ac:dyDescent="0.2">
      <c r="A31" t="s">
        <v>53</v>
      </c>
      <c r="B31">
        <v>10</v>
      </c>
      <c r="C31">
        <v>3</v>
      </c>
      <c r="D31">
        <v>1.6259999999999999</v>
      </c>
      <c r="E31">
        <v>28</v>
      </c>
      <c r="F31" s="1">
        <v>9.9999999999999995E-7</v>
      </c>
      <c r="G31" s="1">
        <v>0.1</v>
      </c>
      <c r="H31" s="1">
        <f t="shared" si="0"/>
        <v>280000000</v>
      </c>
      <c r="I31">
        <v>10</v>
      </c>
      <c r="J31" s="1">
        <v>1E-4</v>
      </c>
      <c r="K31" s="1">
        <f t="shared" si="1"/>
        <v>999999.99999999988</v>
      </c>
    </row>
    <row r="32" spans="1:11" x14ac:dyDescent="0.2">
      <c r="A32" t="s">
        <v>54</v>
      </c>
      <c r="B32">
        <v>12</v>
      </c>
      <c r="C32">
        <v>1</v>
      </c>
      <c r="D32">
        <v>1.6120000000000001</v>
      </c>
      <c r="E32">
        <v>29</v>
      </c>
      <c r="F32" s="1">
        <v>9.9999999999999995E-7</v>
      </c>
      <c r="G32" s="1">
        <v>0.1</v>
      </c>
      <c r="H32" s="1">
        <f t="shared" si="0"/>
        <v>290000000</v>
      </c>
      <c r="I32">
        <v>296</v>
      </c>
      <c r="J32" s="1">
        <v>0.01</v>
      </c>
      <c r="K32" s="1">
        <f t="shared" si="1"/>
        <v>296000</v>
      </c>
    </row>
    <row r="33" spans="1:11" x14ac:dyDescent="0.2">
      <c r="A33" t="s">
        <v>55</v>
      </c>
      <c r="B33">
        <v>12</v>
      </c>
      <c r="C33">
        <v>2</v>
      </c>
      <c r="D33">
        <v>1.677</v>
      </c>
      <c r="E33">
        <v>54</v>
      </c>
      <c r="F33" s="1">
        <v>9.9999999999999995E-7</v>
      </c>
      <c r="G33" s="1">
        <v>0.1</v>
      </c>
      <c r="H33" s="1">
        <f t="shared" si="0"/>
        <v>540000000</v>
      </c>
      <c r="I33" s="1">
        <v>8</v>
      </c>
      <c r="J33" s="1">
        <v>0.01</v>
      </c>
      <c r="K33" s="1">
        <f t="shared" si="1"/>
        <v>8000</v>
      </c>
    </row>
    <row r="34" spans="1:11" x14ac:dyDescent="0.2">
      <c r="A34" t="s">
        <v>56</v>
      </c>
      <c r="B34">
        <v>12</v>
      </c>
      <c r="C34">
        <v>3</v>
      </c>
      <c r="D34">
        <v>1.6519999999999999</v>
      </c>
      <c r="E34">
        <v>25</v>
      </c>
      <c r="F34" s="1">
        <v>9.9999999999999995E-7</v>
      </c>
      <c r="G34" s="1">
        <v>0.1</v>
      </c>
      <c r="H34" s="1">
        <f t="shared" si="0"/>
        <v>250000000</v>
      </c>
      <c r="I34" s="1">
        <v>140</v>
      </c>
      <c r="J34" s="1">
        <v>0.01</v>
      </c>
      <c r="K34" s="1">
        <f t="shared" si="1"/>
        <v>140000</v>
      </c>
    </row>
    <row r="35" spans="1:11" x14ac:dyDescent="0.2">
      <c r="A35" t="s">
        <v>57</v>
      </c>
      <c r="B35">
        <v>14</v>
      </c>
      <c r="C35">
        <v>1</v>
      </c>
      <c r="D35">
        <v>1.5860000000000001</v>
      </c>
      <c r="E35">
        <v>45</v>
      </c>
      <c r="F35" s="1">
        <v>9.9999999999999995E-7</v>
      </c>
      <c r="G35" s="1">
        <v>0.1</v>
      </c>
      <c r="H35" s="1">
        <f t="shared" si="0"/>
        <v>450000000</v>
      </c>
      <c r="I35" s="1">
        <v>13</v>
      </c>
      <c r="J35" s="1">
        <v>1E-4</v>
      </c>
      <c r="K35" s="1">
        <f t="shared" si="1"/>
        <v>1300000</v>
      </c>
    </row>
    <row r="36" spans="1:11" x14ac:dyDescent="0.2">
      <c r="A36" t="s">
        <v>58</v>
      </c>
      <c r="B36">
        <v>14</v>
      </c>
      <c r="C36">
        <v>2</v>
      </c>
      <c r="D36">
        <v>1.611</v>
      </c>
      <c r="E36">
        <v>32</v>
      </c>
      <c r="F36" s="1">
        <v>9.9999999999999995E-7</v>
      </c>
      <c r="G36" s="1">
        <v>0.1</v>
      </c>
      <c r="H36" s="1">
        <f t="shared" si="0"/>
        <v>320000000</v>
      </c>
      <c r="I36" s="1">
        <v>9</v>
      </c>
      <c r="J36" s="1">
        <v>1E-4</v>
      </c>
      <c r="K36" s="1">
        <f t="shared" si="1"/>
        <v>899999.99999999988</v>
      </c>
    </row>
    <row r="37" spans="1:11" x14ac:dyDescent="0.2">
      <c r="A37" t="s">
        <v>59</v>
      </c>
      <c r="B37">
        <v>14</v>
      </c>
      <c r="C37">
        <v>3</v>
      </c>
      <c r="D37">
        <v>1.6739999999999999</v>
      </c>
      <c r="E37">
        <v>18</v>
      </c>
      <c r="F37" s="1">
        <v>9.9999999999999995E-7</v>
      </c>
      <c r="G37" s="1">
        <v>0.1</v>
      </c>
      <c r="H37" s="1">
        <f t="shared" si="0"/>
        <v>180000000</v>
      </c>
      <c r="I37" s="1">
        <v>20</v>
      </c>
      <c r="J37" s="1">
        <v>1E-4</v>
      </c>
      <c r="K37" s="1">
        <f t="shared" si="1"/>
        <v>1999999.9999999998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0AAF1-9F84-4ADF-9D45-7B93E70A458C}">
  <dimension ref="A1:K13"/>
  <sheetViews>
    <sheetView workbookViewId="0">
      <selection activeCell="H2" sqref="H2"/>
    </sheetView>
  </sheetViews>
  <sheetFormatPr baseColWidth="10" defaultColWidth="8.83203125" defaultRowHeight="16" x14ac:dyDescent="0.2"/>
  <cols>
    <col min="5" max="5" width="17.5" customWidth="1"/>
    <col min="6" max="6" width="21.6640625" customWidth="1"/>
    <col min="7" max="7" width="20" customWidth="1"/>
    <col min="8" max="8" width="21.6640625" customWidth="1"/>
    <col min="9" max="9" width="16.6640625" customWidth="1"/>
    <col min="10" max="10" width="15.664062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45</v>
      </c>
      <c r="G1" t="s">
        <v>48</v>
      </c>
      <c r="H1" t="s">
        <v>49</v>
      </c>
      <c r="I1" t="s">
        <v>47</v>
      </c>
      <c r="J1" t="s">
        <v>46</v>
      </c>
      <c r="K1" t="s">
        <v>50</v>
      </c>
    </row>
    <row r="2" spans="1:11" x14ac:dyDescent="0.2">
      <c r="A2" t="s">
        <v>15</v>
      </c>
      <c r="B2">
        <v>0</v>
      </c>
      <c r="C2">
        <v>1</v>
      </c>
      <c r="D2">
        <v>0.88900000000000001</v>
      </c>
      <c r="E2">
        <v>144</v>
      </c>
      <c r="F2" s="1">
        <v>1E-4</v>
      </c>
      <c r="G2">
        <v>0.1</v>
      </c>
      <c r="H2" s="1">
        <f>E2/(F2*G2)</f>
        <v>14399999.999999998</v>
      </c>
      <c r="I2">
        <v>330</v>
      </c>
      <c r="J2" s="1">
        <v>0.01</v>
      </c>
      <c r="K2" s="1">
        <f>I2/(J2*G2)</f>
        <v>330000</v>
      </c>
    </row>
    <row r="3" spans="1:11" x14ac:dyDescent="0.2">
      <c r="A3" t="s">
        <v>18</v>
      </c>
      <c r="B3">
        <v>0</v>
      </c>
      <c r="C3">
        <v>2</v>
      </c>
      <c r="D3">
        <v>0.95</v>
      </c>
      <c r="E3">
        <v>105</v>
      </c>
      <c r="F3" s="1">
        <v>1E-4</v>
      </c>
      <c r="G3">
        <v>0.1</v>
      </c>
      <c r="H3" s="1">
        <f t="shared" ref="H3:H13" si="0">E3/(F3*G3)</f>
        <v>10500000</v>
      </c>
      <c r="I3">
        <v>271</v>
      </c>
      <c r="J3" s="1">
        <v>0.01</v>
      </c>
      <c r="K3" s="1">
        <f t="shared" ref="K3:K13" si="1">I3/(J3*G3)</f>
        <v>271000</v>
      </c>
    </row>
    <row r="4" spans="1:11" x14ac:dyDescent="0.2">
      <c r="A4" t="s">
        <v>19</v>
      </c>
      <c r="B4">
        <v>0</v>
      </c>
      <c r="C4">
        <v>3</v>
      </c>
      <c r="D4">
        <v>0.88300000000000001</v>
      </c>
      <c r="E4">
        <v>65</v>
      </c>
      <c r="F4" s="1">
        <v>1E-4</v>
      </c>
      <c r="G4">
        <v>0.1</v>
      </c>
      <c r="H4" s="1">
        <f t="shared" si="0"/>
        <v>6499999.9999999991</v>
      </c>
      <c r="I4">
        <v>289</v>
      </c>
      <c r="J4" s="1">
        <v>0.01</v>
      </c>
      <c r="K4" s="1">
        <f t="shared" si="1"/>
        <v>289000</v>
      </c>
    </row>
    <row r="5" spans="1:11" x14ac:dyDescent="0.2">
      <c r="A5" t="s">
        <v>33</v>
      </c>
      <c r="B5">
        <v>5</v>
      </c>
      <c r="C5">
        <v>1</v>
      </c>
      <c r="D5">
        <v>1.653</v>
      </c>
      <c r="E5">
        <v>47</v>
      </c>
      <c r="F5" s="1">
        <v>9.9999999999999995E-7</v>
      </c>
      <c r="G5">
        <v>0.1</v>
      </c>
      <c r="H5" s="1">
        <f t="shared" si="0"/>
        <v>470000000</v>
      </c>
      <c r="I5">
        <v>199</v>
      </c>
      <c r="J5" s="1">
        <v>0.01</v>
      </c>
      <c r="K5" s="1">
        <f t="shared" si="1"/>
        <v>199000</v>
      </c>
    </row>
    <row r="6" spans="1:11" x14ac:dyDescent="0.2">
      <c r="A6" t="s">
        <v>34</v>
      </c>
      <c r="B6">
        <v>5</v>
      </c>
      <c r="C6">
        <v>2</v>
      </c>
      <c r="D6">
        <v>1.706</v>
      </c>
      <c r="E6">
        <v>521</v>
      </c>
      <c r="F6" s="1">
        <v>9.9999999999999995E-7</v>
      </c>
      <c r="G6">
        <v>0.1</v>
      </c>
      <c r="H6" s="1">
        <f t="shared" si="0"/>
        <v>5210000000</v>
      </c>
      <c r="I6">
        <v>157</v>
      </c>
      <c r="J6" s="1">
        <v>0.01</v>
      </c>
      <c r="K6" s="1">
        <f t="shared" si="1"/>
        <v>157000</v>
      </c>
    </row>
    <row r="7" spans="1:11" x14ac:dyDescent="0.2">
      <c r="A7" t="s">
        <v>35</v>
      </c>
      <c r="B7">
        <v>5</v>
      </c>
      <c r="C7">
        <v>3</v>
      </c>
      <c r="D7">
        <v>1.6419999999999999</v>
      </c>
      <c r="E7">
        <v>33</v>
      </c>
      <c r="F7" s="1">
        <v>9.9999999999999995E-7</v>
      </c>
      <c r="G7">
        <v>0.1</v>
      </c>
      <c r="H7" s="1">
        <f t="shared" si="0"/>
        <v>330000000</v>
      </c>
      <c r="I7">
        <v>239</v>
      </c>
      <c r="J7" s="1">
        <v>0.01</v>
      </c>
      <c r="K7" s="1">
        <f t="shared" si="1"/>
        <v>239000</v>
      </c>
    </row>
    <row r="8" spans="1:11" x14ac:dyDescent="0.2">
      <c r="A8" t="s">
        <v>54</v>
      </c>
      <c r="B8">
        <v>12</v>
      </c>
      <c r="C8">
        <v>1</v>
      </c>
      <c r="D8">
        <v>2</v>
      </c>
      <c r="E8">
        <v>19</v>
      </c>
      <c r="F8" s="1">
        <v>9.9999999999999995E-7</v>
      </c>
      <c r="G8">
        <v>0.1</v>
      </c>
      <c r="H8" s="1">
        <f t="shared" si="0"/>
        <v>190000000</v>
      </c>
      <c r="I8">
        <v>20</v>
      </c>
      <c r="J8" s="1">
        <v>9.9999999999999995E-7</v>
      </c>
      <c r="K8" s="1">
        <f t="shared" si="1"/>
        <v>200000000</v>
      </c>
    </row>
    <row r="9" spans="1:11" x14ac:dyDescent="0.2">
      <c r="A9" t="s">
        <v>55</v>
      </c>
      <c r="B9">
        <v>12</v>
      </c>
      <c r="C9">
        <v>2</v>
      </c>
      <c r="D9">
        <v>1.913</v>
      </c>
      <c r="E9">
        <v>805</v>
      </c>
      <c r="F9" s="1">
        <v>1E-4</v>
      </c>
      <c r="G9">
        <v>0.1</v>
      </c>
      <c r="H9" s="1">
        <f t="shared" si="0"/>
        <v>80500000</v>
      </c>
      <c r="I9">
        <v>28</v>
      </c>
      <c r="J9" s="1">
        <v>9.9999999999999995E-7</v>
      </c>
      <c r="K9" s="1">
        <f t="shared" si="1"/>
        <v>280000000</v>
      </c>
    </row>
    <row r="10" spans="1:11" x14ac:dyDescent="0.2">
      <c r="A10" t="s">
        <v>56</v>
      </c>
      <c r="B10">
        <v>12</v>
      </c>
      <c r="C10">
        <v>3</v>
      </c>
      <c r="D10">
        <v>1.347</v>
      </c>
      <c r="E10">
        <v>9</v>
      </c>
      <c r="F10" s="1">
        <v>9.9999999999999995E-7</v>
      </c>
      <c r="G10">
        <v>0.1</v>
      </c>
      <c r="H10" s="1">
        <f t="shared" si="0"/>
        <v>90000000</v>
      </c>
      <c r="I10">
        <v>0</v>
      </c>
      <c r="J10" s="1">
        <v>9.9999999999999995E-7</v>
      </c>
      <c r="K10" s="1">
        <f t="shared" si="1"/>
        <v>0</v>
      </c>
    </row>
    <row r="11" spans="1:11" x14ac:dyDescent="0.2">
      <c r="A11" t="s">
        <v>60</v>
      </c>
      <c r="B11">
        <v>17</v>
      </c>
      <c r="C11">
        <v>1</v>
      </c>
      <c r="D11">
        <v>2.2549999999999999</v>
      </c>
      <c r="E11">
        <v>401</v>
      </c>
      <c r="F11" s="1">
        <v>1E-4</v>
      </c>
      <c r="G11">
        <v>0.1</v>
      </c>
      <c r="H11" s="1">
        <f t="shared" si="0"/>
        <v>40100000</v>
      </c>
      <c r="I11">
        <v>38</v>
      </c>
      <c r="J11" s="1">
        <v>9.9999999999999995E-7</v>
      </c>
      <c r="K11" s="1">
        <f t="shared" si="1"/>
        <v>380000000</v>
      </c>
    </row>
    <row r="12" spans="1:11" x14ac:dyDescent="0.2">
      <c r="A12" t="s">
        <v>61</v>
      </c>
      <c r="B12">
        <v>17</v>
      </c>
      <c r="C12">
        <v>2</v>
      </c>
      <c r="D12">
        <v>1.6259999999999999</v>
      </c>
      <c r="E12">
        <v>724</v>
      </c>
      <c r="F12" s="1">
        <v>1E-4</v>
      </c>
      <c r="G12">
        <v>0.1</v>
      </c>
      <c r="H12" s="1">
        <f t="shared" si="0"/>
        <v>72400000</v>
      </c>
      <c r="I12">
        <v>10</v>
      </c>
      <c r="J12" s="1">
        <v>9.9999999999999995E-7</v>
      </c>
      <c r="K12" s="1">
        <f t="shared" si="1"/>
        <v>100000000</v>
      </c>
    </row>
    <row r="13" spans="1:11" x14ac:dyDescent="0.2">
      <c r="A13" t="s">
        <v>62</v>
      </c>
      <c r="B13">
        <v>17</v>
      </c>
      <c r="C13">
        <v>3</v>
      </c>
      <c r="D13">
        <v>1.0920000000000001</v>
      </c>
      <c r="E13">
        <v>259</v>
      </c>
      <c r="F13" s="1">
        <v>1E-4</v>
      </c>
      <c r="G13">
        <v>0.1</v>
      </c>
      <c r="H13" s="1">
        <f t="shared" si="0"/>
        <v>25899999.999999996</v>
      </c>
      <c r="I13">
        <v>76</v>
      </c>
      <c r="J13" s="1">
        <v>9.9999999999999995E-7</v>
      </c>
      <c r="K13" s="1">
        <f t="shared" si="1"/>
        <v>760000000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CDBCB-D30A-9445-B565-220165F32535}">
  <dimension ref="A1:M13"/>
  <sheetViews>
    <sheetView tabSelected="1" workbookViewId="0">
      <selection activeCell="M4" sqref="M4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45</v>
      </c>
      <c r="G1" t="s">
        <v>48</v>
      </c>
      <c r="H1" t="s">
        <v>49</v>
      </c>
      <c r="I1" t="s">
        <v>47</v>
      </c>
      <c r="J1" t="s">
        <v>46</v>
      </c>
      <c r="K1" t="s">
        <v>50</v>
      </c>
      <c r="L1" s="3" t="s">
        <v>66</v>
      </c>
      <c r="M1" s="3" t="s">
        <v>67</v>
      </c>
    </row>
    <row r="2" spans="1:13" x14ac:dyDescent="0.2">
      <c r="A2" t="s">
        <v>15</v>
      </c>
      <c r="B2">
        <v>0</v>
      </c>
      <c r="C2">
        <v>1</v>
      </c>
      <c r="D2">
        <v>0.502</v>
      </c>
      <c r="E2">
        <v>113</v>
      </c>
      <c r="F2" s="1">
        <v>1E-4</v>
      </c>
      <c r="G2">
        <v>0.1</v>
      </c>
      <c r="H2" s="1">
        <f>E2/(F2*G2)</f>
        <v>11300000</v>
      </c>
      <c r="I2">
        <v>4</v>
      </c>
      <c r="J2" s="1">
        <v>0.01</v>
      </c>
      <c r="K2" s="1">
        <f>I2/(J2*G2)</f>
        <v>4000</v>
      </c>
      <c r="L2" s="4">
        <f>H2+K2</f>
        <v>11304000</v>
      </c>
      <c r="M2" s="4">
        <f>L2-K2</f>
        <v>11300000</v>
      </c>
    </row>
    <row r="3" spans="1:13" x14ac:dyDescent="0.2">
      <c r="A3" t="s">
        <v>18</v>
      </c>
      <c r="B3">
        <v>0</v>
      </c>
      <c r="C3">
        <v>2</v>
      </c>
      <c r="D3">
        <v>0.52300000000000002</v>
      </c>
      <c r="E3">
        <v>286</v>
      </c>
      <c r="F3" s="1">
        <v>1E-4</v>
      </c>
      <c r="G3">
        <v>0.1</v>
      </c>
      <c r="H3" s="1">
        <f t="shared" ref="H3:H13" si="0">E3/(F3*G3)</f>
        <v>28599999.999999996</v>
      </c>
      <c r="I3">
        <v>3</v>
      </c>
      <c r="J3" s="1">
        <v>0.01</v>
      </c>
      <c r="K3" s="1">
        <f t="shared" ref="K3:K13" si="1">I3/(J3*G3)</f>
        <v>3000</v>
      </c>
      <c r="L3" s="4">
        <f t="shared" ref="L3:L13" si="2">H3+K3</f>
        <v>28602999.999999996</v>
      </c>
      <c r="M3" s="4">
        <f t="shared" ref="M3:M13" si="3">L3-K3</f>
        <v>28599999.999999996</v>
      </c>
    </row>
    <row r="4" spans="1:13" x14ac:dyDescent="0.2">
      <c r="A4" t="s">
        <v>19</v>
      </c>
      <c r="B4">
        <v>0</v>
      </c>
      <c r="C4">
        <v>3</v>
      </c>
      <c r="D4">
        <v>0.48199999999999998</v>
      </c>
      <c r="E4">
        <v>228</v>
      </c>
      <c r="F4" s="1">
        <v>1E-4</v>
      </c>
      <c r="G4">
        <v>0.1</v>
      </c>
      <c r="H4" s="1">
        <f t="shared" si="0"/>
        <v>22799999.999999996</v>
      </c>
      <c r="I4">
        <v>2</v>
      </c>
      <c r="J4" s="1">
        <v>0.01</v>
      </c>
      <c r="K4" s="1">
        <f t="shared" si="1"/>
        <v>2000</v>
      </c>
      <c r="L4" s="4">
        <f t="shared" si="2"/>
        <v>22801999.999999996</v>
      </c>
      <c r="M4" s="4">
        <f t="shared" si="3"/>
        <v>22799999.999999996</v>
      </c>
    </row>
    <row r="5" spans="1:13" x14ac:dyDescent="0.2">
      <c r="A5" t="s">
        <v>24</v>
      </c>
      <c r="B5">
        <v>2</v>
      </c>
      <c r="C5">
        <v>1</v>
      </c>
      <c r="D5">
        <v>1.889</v>
      </c>
      <c r="E5">
        <v>77</v>
      </c>
      <c r="F5" s="1">
        <v>9.9999999999999995E-7</v>
      </c>
      <c r="G5">
        <v>0.1</v>
      </c>
      <c r="H5" s="1">
        <f t="shared" si="0"/>
        <v>770000000</v>
      </c>
      <c r="I5" t="s">
        <v>17</v>
      </c>
      <c r="J5" t="s">
        <v>17</v>
      </c>
      <c r="K5" s="1"/>
      <c r="L5" s="4">
        <f t="shared" si="2"/>
        <v>770000000</v>
      </c>
      <c r="M5" s="4">
        <f t="shared" si="3"/>
        <v>770000000</v>
      </c>
    </row>
    <row r="6" spans="1:13" x14ac:dyDescent="0.2">
      <c r="A6" t="s">
        <v>25</v>
      </c>
      <c r="B6">
        <v>2</v>
      </c>
      <c r="C6">
        <v>2</v>
      </c>
      <c r="D6">
        <v>2.1800000000000002</v>
      </c>
      <c r="E6">
        <v>94</v>
      </c>
      <c r="F6" s="1">
        <v>9.9999999999999995E-7</v>
      </c>
      <c r="G6">
        <v>0.1</v>
      </c>
      <c r="H6" s="1">
        <f t="shared" si="0"/>
        <v>940000000</v>
      </c>
      <c r="I6">
        <v>3</v>
      </c>
      <c r="J6" s="1">
        <v>0.01</v>
      </c>
      <c r="K6" s="1">
        <f t="shared" si="1"/>
        <v>3000</v>
      </c>
      <c r="L6" s="4">
        <f t="shared" si="2"/>
        <v>940003000</v>
      </c>
      <c r="M6" s="4">
        <f t="shared" si="3"/>
        <v>940000000</v>
      </c>
    </row>
    <row r="7" spans="1:13" x14ac:dyDescent="0.2">
      <c r="A7" t="s">
        <v>26</v>
      </c>
      <c r="B7">
        <v>2</v>
      </c>
      <c r="C7">
        <v>3</v>
      </c>
      <c r="D7">
        <v>2.2309999999999999</v>
      </c>
      <c r="E7">
        <v>132</v>
      </c>
      <c r="F7" s="1">
        <v>9.9999999999999995E-7</v>
      </c>
      <c r="G7">
        <v>0.1</v>
      </c>
      <c r="H7" s="1">
        <f t="shared" si="0"/>
        <v>1320000000</v>
      </c>
      <c r="I7">
        <v>1</v>
      </c>
      <c r="J7" s="1">
        <v>0.01</v>
      </c>
      <c r="K7" s="1">
        <f t="shared" si="1"/>
        <v>1000</v>
      </c>
      <c r="L7" s="4">
        <f t="shared" si="2"/>
        <v>1320001000</v>
      </c>
      <c r="M7" s="4">
        <f t="shared" si="3"/>
        <v>1320000000</v>
      </c>
    </row>
    <row r="8" spans="1:13" x14ac:dyDescent="0.2">
      <c r="A8" t="s">
        <v>60</v>
      </c>
      <c r="B8">
        <v>17</v>
      </c>
      <c r="C8">
        <v>1</v>
      </c>
      <c r="D8">
        <v>0.74199999999999999</v>
      </c>
      <c r="E8">
        <v>318</v>
      </c>
      <c r="F8" s="1">
        <v>1E-4</v>
      </c>
      <c r="G8">
        <v>0.1</v>
      </c>
      <c r="H8" s="1">
        <f t="shared" si="0"/>
        <v>31799999.999999996</v>
      </c>
      <c r="I8">
        <v>1</v>
      </c>
      <c r="J8" s="1">
        <v>9.9999999999999995E-7</v>
      </c>
      <c r="K8" s="1">
        <f t="shared" si="1"/>
        <v>10000000</v>
      </c>
      <c r="L8" s="4">
        <f t="shared" si="2"/>
        <v>41800000</v>
      </c>
      <c r="M8" s="4">
        <f t="shared" si="3"/>
        <v>31800000</v>
      </c>
    </row>
    <row r="9" spans="1:13" x14ac:dyDescent="0.2">
      <c r="A9" t="s">
        <v>61</v>
      </c>
      <c r="B9">
        <v>17</v>
      </c>
      <c r="C9">
        <v>2</v>
      </c>
      <c r="D9">
        <v>0.89100000000000001</v>
      </c>
      <c r="E9">
        <v>257</v>
      </c>
      <c r="F9" s="1">
        <v>1E-4</v>
      </c>
      <c r="G9">
        <v>0.1</v>
      </c>
      <c r="H9" s="1">
        <f t="shared" si="0"/>
        <v>25699999.999999996</v>
      </c>
      <c r="I9">
        <v>2</v>
      </c>
      <c r="J9" s="1">
        <v>9.9999999999999995E-7</v>
      </c>
      <c r="K9" s="1">
        <f t="shared" si="1"/>
        <v>20000000</v>
      </c>
      <c r="L9" s="4">
        <f t="shared" si="2"/>
        <v>45700000</v>
      </c>
      <c r="M9" s="4">
        <f t="shared" si="3"/>
        <v>25700000</v>
      </c>
    </row>
    <row r="10" spans="1:13" x14ac:dyDescent="0.2">
      <c r="A10" t="s">
        <v>62</v>
      </c>
      <c r="B10">
        <v>17</v>
      </c>
      <c r="C10">
        <v>3</v>
      </c>
      <c r="D10">
        <v>0.874</v>
      </c>
      <c r="E10">
        <v>273</v>
      </c>
      <c r="F10" s="1">
        <v>1E-4</v>
      </c>
      <c r="G10">
        <v>0.1</v>
      </c>
      <c r="H10" s="1">
        <f t="shared" si="0"/>
        <v>27299999.999999996</v>
      </c>
      <c r="I10">
        <v>1</v>
      </c>
      <c r="J10" s="1">
        <v>9.9999999999999995E-7</v>
      </c>
      <c r="K10" s="1">
        <f t="shared" si="1"/>
        <v>10000000</v>
      </c>
      <c r="L10" s="4">
        <f t="shared" si="2"/>
        <v>37300000</v>
      </c>
      <c r="M10" s="4">
        <f t="shared" si="3"/>
        <v>27300000</v>
      </c>
    </row>
    <row r="11" spans="1:13" x14ac:dyDescent="0.2">
      <c r="A11" t="s">
        <v>63</v>
      </c>
      <c r="B11">
        <v>19</v>
      </c>
      <c r="C11">
        <v>1</v>
      </c>
      <c r="D11">
        <v>0.73699999999999999</v>
      </c>
      <c r="E11">
        <v>109</v>
      </c>
      <c r="F11" s="1">
        <v>1E-4</v>
      </c>
      <c r="G11">
        <v>0.1</v>
      </c>
      <c r="H11" s="1">
        <f t="shared" si="0"/>
        <v>10900000</v>
      </c>
      <c r="I11">
        <v>1</v>
      </c>
      <c r="J11" s="1">
        <v>1.0000000000000001E-5</v>
      </c>
      <c r="K11" s="1">
        <f t="shared" si="1"/>
        <v>999999.99999999988</v>
      </c>
      <c r="L11" s="4">
        <f t="shared" si="2"/>
        <v>11900000</v>
      </c>
      <c r="M11" s="4">
        <f t="shared" si="3"/>
        <v>10900000</v>
      </c>
    </row>
    <row r="12" spans="1:13" x14ac:dyDescent="0.2">
      <c r="A12" t="s">
        <v>64</v>
      </c>
      <c r="B12">
        <v>19</v>
      </c>
      <c r="C12">
        <v>2</v>
      </c>
      <c r="D12">
        <v>0.79600000000000004</v>
      </c>
      <c r="E12">
        <v>24</v>
      </c>
      <c r="F12" s="1">
        <v>1E-4</v>
      </c>
      <c r="G12">
        <v>0.1</v>
      </c>
      <c r="H12" s="1">
        <f t="shared" si="0"/>
        <v>2400000</v>
      </c>
      <c r="I12">
        <v>2</v>
      </c>
      <c r="J12" s="1">
        <v>1.0000000000000001E-5</v>
      </c>
      <c r="K12" s="1">
        <f t="shared" si="1"/>
        <v>1999999.9999999998</v>
      </c>
      <c r="L12" s="4">
        <f t="shared" si="2"/>
        <v>4400000</v>
      </c>
      <c r="M12" s="4">
        <f t="shared" si="3"/>
        <v>2400000</v>
      </c>
    </row>
    <row r="13" spans="1:13" x14ac:dyDescent="0.2">
      <c r="A13" t="s">
        <v>65</v>
      </c>
      <c r="B13">
        <v>19</v>
      </c>
      <c r="C13">
        <v>3</v>
      </c>
      <c r="D13">
        <v>0.69799999999999995</v>
      </c>
      <c r="E13">
        <v>53</v>
      </c>
      <c r="F13" s="1">
        <v>1E-4</v>
      </c>
      <c r="G13">
        <v>0.1</v>
      </c>
      <c r="H13" s="1">
        <f t="shared" si="0"/>
        <v>5300000</v>
      </c>
      <c r="I13">
        <v>6</v>
      </c>
      <c r="J13" s="1">
        <v>1.0000000000000001E-5</v>
      </c>
      <c r="K13" s="1">
        <f t="shared" si="1"/>
        <v>5999999.9999999991</v>
      </c>
      <c r="L13" s="4">
        <f t="shared" si="2"/>
        <v>11300000</v>
      </c>
      <c r="M13" s="4">
        <f t="shared" si="3"/>
        <v>5300000.0000000009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f9615f-c5bb-4d0d-9154-15db78a898a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ECD2AE6C84B440A24D77076F6B7AB9" ma:contentTypeVersion="11" ma:contentTypeDescription="Create a new document." ma:contentTypeScope="" ma:versionID="b3370645adbffe904c26b1373f553030">
  <xsd:schema xmlns:xsd="http://www.w3.org/2001/XMLSchema" xmlns:xs="http://www.w3.org/2001/XMLSchema" xmlns:p="http://schemas.microsoft.com/office/2006/metadata/properties" xmlns:ns2="f0f9615f-c5bb-4d0d-9154-15db78a898aa" targetNamespace="http://schemas.microsoft.com/office/2006/metadata/properties" ma:root="true" ma:fieldsID="bab3bc09f4ec31363faa9218cb81bc08" ns2:_="">
    <xsd:import namespace="f0f9615f-c5bb-4d0d-9154-15db78a898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f9615f-c5bb-4d0d-9154-15db78a898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eec0a79-46cb-4568-9b1b-2d720bd32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5DA8A0A-59CC-4D02-AF41-3794A39BC040}">
  <ds:schemaRefs>
    <ds:schemaRef ds:uri="http://schemas.microsoft.com/office/2006/documentManagement/types"/>
    <ds:schemaRef ds:uri="http://purl.org/dc/terms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f0f9615f-c5bb-4d0d-9154-15db78a898aa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B700E44F-88A1-4E58-A751-B9FA2642B0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f9615f-c5bb-4d0d-9154-15db78a898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4B8E36E-BE72-4883-AE40-470E7B53FF9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raw.data</vt:lpstr>
      <vt:lpstr>raw.data.clean</vt:lpstr>
      <vt:lpstr>calculations</vt:lpstr>
      <vt:lpstr>flask_pilotsync</vt:lpstr>
      <vt:lpstr>flask_LBpassage_sync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Joy O'Brien</dc:creator>
  <cp:keywords/>
  <dc:description/>
  <cp:lastModifiedBy>Joy O'Brien</cp:lastModifiedBy>
  <cp:revision/>
  <dcterms:created xsi:type="dcterms:W3CDTF">2026-04-19T19:41:09Z</dcterms:created>
  <dcterms:modified xsi:type="dcterms:W3CDTF">2026-06-26T22:10:24Z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0x010100F7ECD2AE6C84B440A24D77076F6B7AB9</vt:lpwstr>
  </property>
  <property fmtid="{D5CDD505-2E9C-101B-9397-08002B2CF9AE}" pid="3" name="MediaServiceImageTags">
    <vt:lpwstr/>
  </property>
</Properties>
</file>